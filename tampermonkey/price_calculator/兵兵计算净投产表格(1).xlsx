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<sst xmlns="http://schemas.openxmlformats.org/spreadsheetml/2006/main" count="67" uniqueCount="24">
  <si>
    <t>兵兵目标投产计算表</t>
  </si>
  <si>
    <t>ID</t>
  </si>
  <si>
    <t>SKU名</t>
  </si>
  <si>
    <t xml:space="preserve">规格实际售价  </t>
  </si>
  <si>
    <t xml:space="preserve">   成本   （包含人工）</t>
  </si>
  <si>
    <r>
      <rPr>
        <b/>
        <sz val="10"/>
        <color theme="1"/>
        <rFont val="楷体"/>
        <charset val="134"/>
      </rPr>
      <t xml:space="preserve">  运费  </t>
    </r>
    <r>
      <rPr>
        <b/>
        <sz val="8"/>
        <color theme="1"/>
        <rFont val="楷体"/>
        <charset val="134"/>
      </rPr>
      <t>（运费险）</t>
    </r>
  </si>
  <si>
    <r>
      <rPr>
        <b/>
        <sz val="10"/>
        <color theme="1"/>
        <rFont val="楷体"/>
        <charset val="134"/>
      </rPr>
      <t xml:space="preserve">  利润 </t>
    </r>
    <r>
      <rPr>
        <b/>
        <sz val="8"/>
        <color theme="1"/>
        <rFont val="楷体"/>
        <charset val="134"/>
      </rPr>
      <t>（自动算）</t>
    </r>
  </si>
  <si>
    <t>退货率</t>
  </si>
  <si>
    <r>
      <rPr>
        <b/>
        <sz val="12"/>
        <color theme="1"/>
        <rFont val="楷体"/>
        <charset val="134"/>
      </rPr>
      <t>利润率</t>
    </r>
    <r>
      <rPr>
        <b/>
        <sz val="6"/>
        <color theme="1"/>
        <rFont val="楷体"/>
        <charset val="134"/>
      </rPr>
      <t>（自动计算）</t>
    </r>
  </si>
  <si>
    <t>平台扣点</t>
  </si>
  <si>
    <t>目标销售利润率</t>
  </si>
  <si>
    <t>拼单价</t>
  </si>
  <si>
    <t>单买价</t>
  </si>
  <si>
    <t>六折限时限量购拼单价</t>
  </si>
  <si>
    <t>六折限时限量购单买价</t>
  </si>
  <si>
    <t>限时限量购-10-5单买价</t>
  </si>
  <si>
    <t>限时限量购-10-5拼单价</t>
  </si>
  <si>
    <t>六折限时限量购-5拼单价</t>
  </si>
  <si>
    <t>六折限时限量-5购单买价</t>
  </si>
  <si>
    <r>
      <rPr>
        <b/>
        <sz val="9"/>
        <color rgb="FFFF0000"/>
        <rFont val="楷体"/>
        <charset val="134"/>
      </rPr>
      <t>保本净投产比</t>
    </r>
    <r>
      <rPr>
        <b/>
        <sz val="8"/>
        <color rgb="FFFF0000"/>
        <rFont val="楷体"/>
        <charset val="134"/>
      </rPr>
      <t>（自动计算）</t>
    </r>
  </si>
  <si>
    <t xml:space="preserve">  强付费                    （保本出价）</t>
  </si>
  <si>
    <t xml:space="preserve"> 微付费投产比（初始设置）</t>
  </si>
  <si>
    <t>未命名</t>
  </si>
  <si>
    <r>
      <rPr>
        <sz val="11"/>
        <color rgb="FFFF0000"/>
        <rFont val="楷体"/>
        <charset val="134"/>
      </rPr>
      <t>售价是实际售价，活动后，优惠卷之后的售价</t>
    </r>
    <r>
      <rPr>
        <sz val="11"/>
        <color rgb="FFFF0000"/>
        <rFont val="宋体"/>
        <charset val="134"/>
      </rPr>
      <t xml:space="preserve">  </t>
    </r>
    <r>
      <rPr>
        <sz val="11"/>
        <color rgb="FFFF0000"/>
        <rFont val="楷体"/>
        <charset val="134"/>
      </rPr>
      <t>持平投产比：1除以（1-售后率）x利润率
   利润率：热卖规格的利润/规格卖价
         售后率：非标：30% 半标：20% 标品：15%
             利润：扣除 成本、快递、运费险、平台0.6%扣点</t>
    </r>
    <r>
      <rPr>
        <sz val="11"/>
        <color rgb="FFFF0000"/>
        <rFont val="宋体"/>
        <charset val="134"/>
      </rPr>
      <t xml:space="preserve">
       </t>
    </r>
    <r>
      <rPr>
        <sz val="11"/>
        <color rgb="FFFF0000"/>
        <rFont val="楷体"/>
        <charset val="134"/>
      </rPr>
      <t>强付费开极速低于最低值后期亏本拉不上来   微付费前期投产压低才能获取自然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</si>
</sst>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0"/>
      <color rgb="FF000000"/>
      <name val="阿里巴巴普惠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阿里巴巴普惠体"/>
      <charset val="134"/>
    </font>
    <font>
      <b/>
      <sz val="10"/>
      <color rgb="FF000000"/>
      <name val="楷体"/>
      <charset val="134"/>
    </font>
    <font>
      <b/>
      <sz val="8"/>
      <color rgb="FF0070C0"/>
      <name val="楷体"/>
      <charset val="134"/>
    </font>
    <font>
      <b/>
      <sz val="10"/>
      <color theme="1"/>
      <name val="楷体"/>
      <charset val="134"/>
    </font>
    <font>
      <b/>
      <sz val="11"/>
      <color theme="1"/>
      <name val="楷体"/>
      <charset val="134"/>
    </font>
    <font>
      <b/>
      <sz val="12"/>
      <color theme="1"/>
      <name val="楷体"/>
      <charset val="134"/>
    </font>
    <font>
      <b/>
      <sz val="9"/>
      <color theme="3"/>
      <name val="楷体"/>
      <charset val="134"/>
    </font>
    <font>
      <sz val="9"/>
      <color theme="1"/>
      <name val="楷体"/>
      <charset val="134"/>
    </font>
    <font>
      <b/>
      <sz val="9"/>
      <color rgb="FFFF0000"/>
      <name val="楷体"/>
      <charset val="134"/>
    </font>
    <font>
      <b/>
      <sz val="8"/>
      <color theme="1"/>
      <name val="楷体"/>
      <charset val="134"/>
    </font>
    <font>
      <sz val="10"/>
      <color rgb="FF000000"/>
      <name val="楷体"/>
      <charset val="134"/>
    </font>
    <font>
      <sz val="10"/>
      <color rgb="FF0070C0"/>
      <name val="楷体"/>
      <charset val="134"/>
    </font>
    <font>
      <sz val="10"/>
      <color theme="3"/>
      <name val="楷体"/>
      <charset val="134"/>
    </font>
    <font>
      <sz val="9"/>
      <color theme="3"/>
      <name val="楷体"/>
      <charset val="134"/>
    </font>
    <font>
      <sz val="11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8"/>
      <color rgb="FFFF0000"/>
      <name val="楷体"/>
      <charset val="134"/>
    </font>
    <font>
      <sz val="11"/>
      <color rgb="FFFF0000"/>
      <name val="宋体"/>
      <charset val="134"/>
    </font>
    <font>
      <b/>
      <sz val="6"/>
      <color theme="1"/>
      <name val="楷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0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11" applyNumberFormat="0" applyAlignment="0" applyProtection="0">
      <alignment vertical="center"/>
    </xf>
    <xf numFmtId="0" fontId="30" fillId="12" borderId="12" applyNumberFormat="0" applyAlignment="0" applyProtection="0">
      <alignment vertical="center"/>
    </xf>
    <xf numFmtId="0" fontId="31" fillId="12" borderId="11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0" fontId="2" fillId="0" borderId="0" xfId="0" applyNumberFormat="1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9" fontId="0" fillId="0" borderId="0" xfId="3" applyFont="1">
      <alignment vertical="center"/>
    </xf>
    <xf numFmtId="176" fontId="0" fillId="2" borderId="0" xfId="0" applyNumberForma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5" fillId="0" borderId="1" xfId="0" applyNumberFormat="1" applyFont="1" applyBorder="1" applyAlignment="1" applyProtection="1">
      <alignment horizontal="left" vertical="center" wrapText="1"/>
    </xf>
    <xf numFmtId="10" fontId="6" fillId="0" borderId="1" xfId="0" applyNumberFormat="1" applyFont="1" applyBorder="1" applyAlignment="1" applyProtection="1">
      <alignment horizontal="left" vertical="center" wrapText="1"/>
    </xf>
    <xf numFmtId="10" fontId="7" fillId="3" borderId="1" xfId="0" applyNumberFormat="1" applyFont="1" applyFill="1" applyBorder="1" applyAlignment="1" applyProtection="1">
      <alignment horizontal="left" vertical="center" wrapText="1"/>
    </xf>
    <xf numFmtId="10" fontId="8" fillId="0" borderId="1" xfId="0" applyNumberFormat="1" applyFont="1" applyBorder="1" applyAlignment="1" applyProtection="1">
      <alignment horizontal="left" vertical="center" wrapText="1"/>
    </xf>
    <xf numFmtId="9" fontId="9" fillId="0" borderId="1" xfId="3" applyFont="1" applyBorder="1" applyAlignment="1" applyProtection="1">
      <alignment horizontal="left" vertical="center" wrapText="1"/>
    </xf>
    <xf numFmtId="10" fontId="10" fillId="0" borderId="1" xfId="0" applyNumberFormat="1" applyFont="1" applyBorder="1" applyAlignment="1" applyProtection="1">
      <alignment horizontal="left" vertical="center" wrapText="1"/>
    </xf>
    <xf numFmtId="10" fontId="9" fillId="0" borderId="1" xfId="0" applyNumberFormat="1" applyFont="1" applyBorder="1" applyAlignment="1" applyProtection="1">
      <alignment horizontal="left" vertical="center" wrapText="1"/>
    </xf>
    <xf numFmtId="176" fontId="11" fillId="4" borderId="1" xfId="0" applyNumberFormat="1" applyFont="1" applyFill="1" applyBorder="1" applyAlignment="1" applyProtection="1">
      <alignment horizontal="left" vertical="center" wrapText="1"/>
    </xf>
    <xf numFmtId="176" fontId="11" fillId="5" borderId="1" xfId="0" applyNumberFormat="1" applyFont="1" applyFill="1" applyBorder="1" applyAlignment="1" applyProtection="1">
      <alignment horizontal="left" vertical="center" wrapText="1"/>
    </xf>
    <xf numFmtId="176" fontId="11" fillId="6" borderId="1" xfId="0" applyNumberFormat="1" applyFont="1" applyFill="1" applyBorder="1" applyAlignment="1" applyProtection="1">
      <alignment horizontal="left" vertical="center" wrapText="1"/>
    </xf>
    <xf numFmtId="176" fontId="12" fillId="7" borderId="1" xfId="0" applyNumberFormat="1" applyFont="1" applyFill="1" applyBorder="1" applyAlignment="1" applyProtection="1">
      <alignment horizontal="left" vertical="center" wrapText="1"/>
    </xf>
    <xf numFmtId="176" fontId="11" fillId="8" borderId="1" xfId="0" applyNumberFormat="1" applyFont="1" applyFill="1" applyBorder="1" applyAlignment="1" applyProtection="1">
      <alignment horizontal="left" vertical="center" wrapText="1"/>
    </xf>
    <xf numFmtId="176" fontId="13" fillId="2" borderId="1" xfId="0" applyNumberFormat="1" applyFont="1" applyFill="1" applyBorder="1" applyAlignment="1" applyProtection="1">
      <alignment horizontal="left" vertical="center" wrapText="1"/>
    </xf>
    <xf numFmtId="10" fontId="14" fillId="2" borderId="1" xfId="0" applyNumberFormat="1" applyFont="1" applyFill="1" applyBorder="1" applyAlignment="1" applyProtection="1">
      <alignment horizontal="left" vertical="center" wrapText="1"/>
    </xf>
    <xf numFmtId="1" fontId="2" fillId="0" borderId="2" xfId="0" applyNumberFormat="1" applyFont="1" applyBorder="1" applyAlignment="1" applyProtection="1">
      <alignment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Fill="1" applyBorder="1" applyAlignment="1" applyProtection="1">
      <alignment horizontal="left" vertical="center"/>
    </xf>
    <xf numFmtId="0" fontId="16" fillId="3" borderId="2" xfId="0" applyFont="1" applyFill="1" applyBorder="1" applyAlignment="1" applyProtection="1">
      <alignment horizontal="left" vertical="center"/>
    </xf>
    <xf numFmtId="9" fontId="15" fillId="0" borderId="2" xfId="3" applyNumberFormat="1" applyFont="1" applyBorder="1" applyAlignment="1" applyProtection="1">
      <alignment horizontal="left" vertical="center"/>
    </xf>
    <xf numFmtId="10" fontId="15" fillId="0" borderId="2" xfId="0" applyNumberFormat="1" applyFont="1" applyBorder="1" applyAlignment="1" applyProtection="1">
      <alignment horizontal="left" vertical="center"/>
    </xf>
    <xf numFmtId="10" fontId="17" fillId="4" borderId="2" xfId="0" applyNumberFormat="1" applyFont="1" applyFill="1" applyBorder="1" applyAlignment="1" applyProtection="1">
      <alignment horizontal="left" vertical="center"/>
    </xf>
    <xf numFmtId="0" fontId="17" fillId="5" borderId="2" xfId="0" applyNumberFormat="1" applyFont="1" applyFill="1" applyBorder="1" applyAlignment="1" applyProtection="1">
      <alignment horizontal="left" vertical="center"/>
    </xf>
    <xf numFmtId="0" fontId="17" fillId="6" borderId="1" xfId="0" applyNumberFormat="1" applyFont="1" applyFill="1" applyBorder="1" applyAlignment="1" applyProtection="1">
      <alignment horizontal="left" vertical="center"/>
    </xf>
    <xf numFmtId="176" fontId="18" fillId="6" borderId="1" xfId="0" applyNumberFormat="1" applyFont="1" applyFill="1" applyBorder="1" applyAlignment="1" applyProtection="1">
      <alignment horizontal="left" vertical="center" wrapText="1"/>
    </xf>
    <xf numFmtId="176" fontId="15" fillId="2" borderId="2" xfId="0" applyNumberFormat="1" applyFont="1" applyFill="1" applyBorder="1" applyAlignment="1" applyProtection="1">
      <alignment horizontal="left" vertical="center"/>
    </xf>
    <xf numFmtId="9" fontId="15" fillId="0" borderId="2" xfId="3" applyNumberFormat="1" applyFont="1" applyFill="1" applyBorder="1" applyAlignment="1" applyProtection="1">
      <alignment horizontal="left" vertical="center"/>
    </xf>
    <xf numFmtId="9" fontId="15" fillId="0" borderId="2" xfId="3" applyFont="1" applyBorder="1" applyAlignment="1" applyProtection="1">
      <alignment horizontal="left" vertical="center"/>
    </xf>
    <xf numFmtId="0" fontId="19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9" fontId="4" fillId="2" borderId="4" xfId="3" applyFont="1" applyFill="1" applyBorder="1" applyAlignment="1" applyProtection="1">
      <alignment horizontal="center" vertical="center"/>
    </xf>
    <xf numFmtId="176" fontId="4" fillId="2" borderId="4" xfId="0" applyNumberFormat="1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4" fillId="2" borderId="0" xfId="3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9" fontId="4" fillId="2" borderId="7" xfId="3" applyFont="1" applyFill="1" applyBorder="1" applyAlignment="1" applyProtection="1">
      <alignment horizontal="center" vertical="center"/>
    </xf>
    <xf numFmtId="176" fontId="4" fillId="2" borderId="7" xfId="0" applyNumberFormat="1" applyFont="1" applyFill="1" applyBorder="1" applyAlignment="1" applyProtection="1">
      <alignment horizontal="center" vertical="center"/>
    </xf>
    <xf numFmtId="176" fontId="0" fillId="9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38"/>
  <sheetViews>
    <sheetView tabSelected="1" zoomScale="109" zoomScaleNormal="109" workbookViewId="0">
      <selection activeCell="K5" sqref="K5"/>
    </sheetView>
  </sheetViews>
  <sheetFormatPr defaultColWidth="9" defaultRowHeight="13.5" customHeight="1"/>
  <cols>
    <col min="1" max="1" width="6.54615384615385" customWidth="1"/>
    <col min="2" max="2" width="6.11538461538461" style="4" customWidth="1"/>
    <col min="3" max="3" width="6.79230769230769" style="4" customWidth="1"/>
    <col min="4" max="4" width="8.33846153846154" customWidth="1"/>
    <col min="5" max="5" width="7.73076923076923" customWidth="1"/>
    <col min="6" max="6" width="7.82307692307692" customWidth="1"/>
    <col min="7" max="7" width="7.6" customWidth="1"/>
    <col min="8" max="8" width="6.92307692307692" style="5" customWidth="1"/>
    <col min="9" max="9" width="8.16923076923077" customWidth="1"/>
    <col min="10" max="23" width="9.14615384615385" customWidth="1"/>
    <col min="24" max="25" width="10.2076923076923" style="6" customWidth="1"/>
  </cols>
  <sheetData>
    <row r="1" s="1" customFormat="1" ht="49" customHeight="1" spans="1: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="2" customFormat="1" ht="42" customHeight="1" spans="1:25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2" t="s">
        <v>6</v>
      </c>
      <c r="G2" s="13" t="s">
        <v>7</v>
      </c>
      <c r="H2" s="14" t="s">
        <v>8</v>
      </c>
      <c r="I2" s="15" t="s">
        <v>9</v>
      </c>
      <c r="J2" s="16" t="s">
        <v>10</v>
      </c>
      <c r="K2" s="17" t="s">
        <v>11</v>
      </c>
      <c r="L2" s="17" t="s">
        <v>12</v>
      </c>
      <c r="M2" s="17" t="s">
        <v>11</v>
      </c>
      <c r="N2" s="18" t="s">
        <v>13</v>
      </c>
      <c r="O2" s="18" t="s">
        <v>14</v>
      </c>
      <c r="P2" s="18" t="s">
        <v>13</v>
      </c>
      <c r="Q2" s="19" t="s">
        <v>15</v>
      </c>
      <c r="R2" s="19" t="s">
        <v>16</v>
      </c>
      <c r="S2" s="19" t="s">
        <v>15</v>
      </c>
      <c r="T2" s="20" t="s">
        <v>17</v>
      </c>
      <c r="U2" s="20" t="s">
        <v>18</v>
      </c>
      <c r="V2" s="20" t="s">
        <v>17</v>
      </c>
      <c r="W2" s="21" t="s">
        <v>19</v>
      </c>
      <c r="X2" s="21" t="s">
        <v>20</v>
      </c>
      <c r="Y2" s="22" t="s">
        <v>21</v>
      </c>
    </row>
    <row r="3" s="3" customFormat="1" ht="14.25" customHeight="1" spans="1:25">
      <c r="A3" s="23"/>
      <c r="B3" s="24" t="s">
        <v>22</v>
      </c>
      <c r="C3" s="25">
        <f>M3</f>
        <v>7.92</v>
      </c>
      <c r="D3" s="26">
        <v>5.94</v>
      </c>
      <c r="E3" s="25">
        <v>0</v>
      </c>
      <c r="F3" s="25">
        <f>C3-D3-E3</f>
        <v>1.98</v>
      </c>
      <c r="G3" s="27">
        <v>0.2</v>
      </c>
      <c r="H3" s="28">
        <f>(F3/C3)*(1-G3)</f>
        <v>0.2</v>
      </c>
      <c r="I3" s="28">
        <v>0.006</v>
      </c>
      <c r="J3" s="29">
        <v>0.2</v>
      </c>
      <c r="K3" s="30">
        <f>ROUND((D3+E3)/(1-J3/(1-G3)),2)</f>
        <v>7.92</v>
      </c>
      <c r="L3" s="30">
        <f>IF(M3&lt;&gt;0,ROUND(M3*1.2+5,2),0)</f>
        <v>14.5</v>
      </c>
      <c r="M3" s="30">
        <f>ROUND((D3+E3)/(1-J3/(1-G3)),2)</f>
        <v>7.92</v>
      </c>
      <c r="N3" s="31">
        <f>IF(M3&lt;&gt;0,ROUND(M3/0.6,2),0)</f>
        <v>13.2</v>
      </c>
      <c r="O3" s="31">
        <f>IF(P3&lt;&gt;0,ROUND(P3*1.2+5,2),0)</f>
        <v>20.84</v>
      </c>
      <c r="P3" s="32">
        <f>IF(M3&lt;&gt;0,ROUND(M3/0.6,2),0)</f>
        <v>13.2</v>
      </c>
      <c r="Q3" s="19">
        <f>IF(K3&lt;&gt;0,ROUND(K3*1.3+15,2),0)</f>
        <v>25.3</v>
      </c>
      <c r="R3" s="19">
        <f>IF(K3&lt;&gt;0,K3+15,0)</f>
        <v>22.92</v>
      </c>
      <c r="S3" s="19">
        <f>IF(K3&lt;&gt;0,ROUND(K3*1.3+15,2),0)</f>
        <v>25.3</v>
      </c>
      <c r="T3" s="20">
        <f>IF(M3&lt;&gt;0,ROUND((M3+5)/0.6,2),0)</f>
        <v>21.53</v>
      </c>
      <c r="U3" s="20">
        <f>IF(L3&lt;&gt;0,ROUND((L3+5)/0.6,2),0)</f>
        <v>32.5</v>
      </c>
      <c r="V3" s="20">
        <f>IF(M3&lt;&gt;0,ROUND((M3+5)/0.6,2),0)</f>
        <v>21.53</v>
      </c>
      <c r="W3" s="33">
        <f>1/H3*(1+0.06)</f>
        <v>5.3</v>
      </c>
      <c r="X3" s="33">
        <f>F3*(1-G3)</f>
        <v>1.584</v>
      </c>
      <c r="Y3" s="33">
        <f>W3/2+0.5</f>
        <v>3.15</v>
      </c>
    </row>
    <row r="4" s="3" customFormat="1" ht="14.25" customHeight="1" spans="1:25">
      <c r="A4" s="23"/>
      <c r="B4" s="24" t="s">
        <v>22</v>
      </c>
      <c r="C4" s="25">
        <f t="shared" ref="C4:C42" si="0">M4</f>
        <v>7.92</v>
      </c>
      <c r="D4" s="26">
        <v>5.94</v>
      </c>
      <c r="E4" s="25">
        <v>0</v>
      </c>
      <c r="F4" s="25">
        <f t="shared" ref="F3:F12" si="1">C4-D4-E4</f>
        <v>1.98</v>
      </c>
      <c r="G4" s="27">
        <v>0.2</v>
      </c>
      <c r="H4" s="28">
        <f>(F4/C4)*(1-G4)</f>
        <v>0.2</v>
      </c>
      <c r="I4" s="28">
        <v>0.006</v>
      </c>
      <c r="J4" s="29">
        <v>0.2</v>
      </c>
      <c r="K4" s="30">
        <f t="shared" ref="K4:K42" si="2">ROUND((D4+E4)/(1-J4/(1-G4)),2)</f>
        <v>7.92</v>
      </c>
      <c r="L4" s="30">
        <f t="shared" ref="L4:L42" si="3">IF(M4&lt;&gt;0,ROUND(M4*1.2+5,2),0)</f>
        <v>14.5</v>
      </c>
      <c r="M4" s="30">
        <f t="shared" ref="M4:M42" si="4">ROUND((D4+E4)/(1-J4/(1-G4)),2)</f>
        <v>7.92</v>
      </c>
      <c r="N4" s="31">
        <f t="shared" ref="N4:N42" si="5">IF(M4&lt;&gt;0,ROUND(M4/0.6,2),0)</f>
        <v>13.2</v>
      </c>
      <c r="O4" s="31">
        <f t="shared" ref="O4:O42" si="6">IF(P4&lt;&gt;0,ROUND(P4*1.2+5,2),0)</f>
        <v>20.84</v>
      </c>
      <c r="P4" s="32">
        <f t="shared" ref="P4:P42" si="7">IF(M4&lt;&gt;0,ROUND(M4/0.6,2),0)</f>
        <v>13.2</v>
      </c>
      <c r="Q4" s="19">
        <f t="shared" ref="Q4:Q42" si="8">IF(K4&lt;&gt;0,ROUND(K4*1.3+15,2),0)</f>
        <v>25.3</v>
      </c>
      <c r="R4" s="19">
        <f t="shared" ref="R4:R42" si="9">IF(K4&lt;&gt;0,K4+15,0)</f>
        <v>22.92</v>
      </c>
      <c r="S4" s="19">
        <f t="shared" ref="S4:S42" si="10">IF(K4&lt;&gt;0,ROUND(K4*1.3+15,2),0)</f>
        <v>25.3</v>
      </c>
      <c r="T4" s="20">
        <f t="shared" ref="T4:T42" si="11">IF(M4&lt;&gt;0,ROUND((M4+5)/0.6,2),0)</f>
        <v>21.53</v>
      </c>
      <c r="U4" s="20">
        <f t="shared" ref="U4:U42" si="12">IF(L4&lt;&gt;0,ROUND((L4+5)/0.6,2),0)</f>
        <v>32.5</v>
      </c>
      <c r="V4" s="20">
        <f t="shared" ref="V4:V42" si="13">IF(M4&lt;&gt;0,ROUND((M4+5)/0.6,2),0)</f>
        <v>21.53</v>
      </c>
      <c r="W4" s="33">
        <f t="shared" ref="W4:W42" si="14">1/H4*(1+0.06)</f>
        <v>5.3</v>
      </c>
      <c r="X4" s="33">
        <f t="shared" ref="X3:X12" si="15">F4*(1-G4)</f>
        <v>1.584</v>
      </c>
      <c r="Y4" s="33">
        <f t="shared" ref="Y3:Y12" si="16">W4/2+0.5</f>
        <v>3.15</v>
      </c>
    </row>
    <row r="5" s="3" customFormat="1" ht="14.25" customHeight="1" spans="1:25">
      <c r="A5" s="23"/>
      <c r="B5" s="24" t="s">
        <v>22</v>
      </c>
      <c r="C5" s="25">
        <f t="shared" si="0"/>
        <v>7.92</v>
      </c>
      <c r="D5" s="26">
        <v>5.94</v>
      </c>
      <c r="E5" s="25">
        <v>0</v>
      </c>
      <c r="F5" s="25">
        <f t="shared" si="1"/>
        <v>1.98</v>
      </c>
      <c r="G5" s="34">
        <v>0.2</v>
      </c>
      <c r="H5" s="28">
        <f t="shared" ref="H4:H42" si="17">(F5/C5)*(1-G5)</f>
        <v>0.2</v>
      </c>
      <c r="I5" s="28">
        <v>0.006</v>
      </c>
      <c r="J5" s="29">
        <v>0.2</v>
      </c>
      <c r="K5" s="30">
        <f t="shared" si="2"/>
        <v>7.92</v>
      </c>
      <c r="L5" s="30">
        <f t="shared" si="3"/>
        <v>14.5</v>
      </c>
      <c r="M5" s="30">
        <f t="shared" si="4"/>
        <v>7.92</v>
      </c>
      <c r="N5" s="31">
        <f t="shared" si="5"/>
        <v>13.2</v>
      </c>
      <c r="O5" s="31">
        <f t="shared" si="6"/>
        <v>20.84</v>
      </c>
      <c r="P5" s="32">
        <f t="shared" si="7"/>
        <v>13.2</v>
      </c>
      <c r="Q5" s="19">
        <f t="shared" si="8"/>
        <v>25.3</v>
      </c>
      <c r="R5" s="19">
        <f t="shared" si="9"/>
        <v>22.92</v>
      </c>
      <c r="S5" s="19">
        <f t="shared" si="10"/>
        <v>25.3</v>
      </c>
      <c r="T5" s="20">
        <f t="shared" si="11"/>
        <v>21.53</v>
      </c>
      <c r="U5" s="20">
        <f t="shared" si="12"/>
        <v>32.5</v>
      </c>
      <c r="V5" s="20">
        <f t="shared" si="13"/>
        <v>21.53</v>
      </c>
      <c r="W5" s="33">
        <f t="shared" si="14"/>
        <v>5.3</v>
      </c>
      <c r="X5" s="33">
        <f t="shared" si="15"/>
        <v>1.584</v>
      </c>
      <c r="Y5" s="33">
        <f t="shared" si="16"/>
        <v>3.15</v>
      </c>
    </row>
    <row r="6" s="3" customFormat="1" ht="14.25" customHeight="1" spans="1:25">
      <c r="A6" s="23"/>
      <c r="B6" s="24" t="s">
        <v>22</v>
      </c>
      <c r="C6" s="25">
        <f t="shared" si="0"/>
        <v>7.92</v>
      </c>
      <c r="D6" s="26">
        <v>5.94</v>
      </c>
      <c r="E6" s="25">
        <v>0</v>
      </c>
      <c r="F6" s="25">
        <f t="shared" si="1"/>
        <v>1.98</v>
      </c>
      <c r="G6" s="27">
        <v>0.2</v>
      </c>
      <c r="H6" s="28">
        <f t="shared" si="17"/>
        <v>0.2</v>
      </c>
      <c r="I6" s="28">
        <v>0.006</v>
      </c>
      <c r="J6" s="29">
        <v>0.2</v>
      </c>
      <c r="K6" s="30">
        <f t="shared" si="2"/>
        <v>7.92</v>
      </c>
      <c r="L6" s="30">
        <f t="shared" si="3"/>
        <v>14.5</v>
      </c>
      <c r="M6" s="30">
        <f t="shared" si="4"/>
        <v>7.92</v>
      </c>
      <c r="N6" s="31">
        <f t="shared" si="5"/>
        <v>13.2</v>
      </c>
      <c r="O6" s="31">
        <f t="shared" si="6"/>
        <v>20.84</v>
      </c>
      <c r="P6" s="32">
        <f t="shared" si="7"/>
        <v>13.2</v>
      </c>
      <c r="Q6" s="19">
        <f t="shared" si="8"/>
        <v>25.3</v>
      </c>
      <c r="R6" s="19">
        <f t="shared" si="9"/>
        <v>22.92</v>
      </c>
      <c r="S6" s="19">
        <f t="shared" si="10"/>
        <v>25.3</v>
      </c>
      <c r="T6" s="20">
        <f t="shared" si="11"/>
        <v>21.53</v>
      </c>
      <c r="U6" s="20">
        <f t="shared" si="12"/>
        <v>32.5</v>
      </c>
      <c r="V6" s="20">
        <f t="shared" si="13"/>
        <v>21.53</v>
      </c>
      <c r="W6" s="33">
        <f t="shared" si="14"/>
        <v>5.3</v>
      </c>
      <c r="X6" s="33">
        <f t="shared" si="15"/>
        <v>1.584</v>
      </c>
      <c r="Y6" s="33">
        <f t="shared" si="16"/>
        <v>3.15</v>
      </c>
    </row>
    <row r="7" s="3" customFormat="1" ht="14.25" customHeight="1" spans="1:25">
      <c r="A7" s="23"/>
      <c r="B7" s="24" t="s">
        <v>22</v>
      </c>
      <c r="C7" s="25">
        <f t="shared" si="0"/>
        <v>7.92</v>
      </c>
      <c r="D7" s="26">
        <v>5.94</v>
      </c>
      <c r="E7" s="25">
        <v>0</v>
      </c>
      <c r="F7" s="25">
        <f t="shared" si="1"/>
        <v>1.98</v>
      </c>
      <c r="G7" s="34">
        <v>0.2</v>
      </c>
      <c r="H7" s="28">
        <f t="shared" si="17"/>
        <v>0.2</v>
      </c>
      <c r="I7" s="28">
        <v>0.006</v>
      </c>
      <c r="J7" s="29">
        <v>0.2</v>
      </c>
      <c r="K7" s="30">
        <f t="shared" si="2"/>
        <v>7.92</v>
      </c>
      <c r="L7" s="30">
        <f t="shared" si="3"/>
        <v>14.5</v>
      </c>
      <c r="M7" s="30">
        <f t="shared" si="4"/>
        <v>7.92</v>
      </c>
      <c r="N7" s="31">
        <f t="shared" si="5"/>
        <v>13.2</v>
      </c>
      <c r="O7" s="31">
        <f t="shared" si="6"/>
        <v>20.84</v>
      </c>
      <c r="P7" s="32">
        <f t="shared" si="7"/>
        <v>13.2</v>
      </c>
      <c r="Q7" s="19">
        <f t="shared" si="8"/>
        <v>25.3</v>
      </c>
      <c r="R7" s="19">
        <f t="shared" si="9"/>
        <v>22.92</v>
      </c>
      <c r="S7" s="19">
        <f t="shared" si="10"/>
        <v>25.3</v>
      </c>
      <c r="T7" s="20">
        <f t="shared" si="11"/>
        <v>21.53</v>
      </c>
      <c r="U7" s="20">
        <f t="shared" si="12"/>
        <v>32.5</v>
      </c>
      <c r="V7" s="20">
        <f t="shared" si="13"/>
        <v>21.53</v>
      </c>
      <c r="W7" s="33">
        <f t="shared" si="14"/>
        <v>5.3</v>
      </c>
      <c r="X7" s="33">
        <f t="shared" si="15"/>
        <v>1.584</v>
      </c>
      <c r="Y7" s="33">
        <f t="shared" si="16"/>
        <v>3.15</v>
      </c>
    </row>
    <row r="8" s="3" customFormat="1" ht="14.25" customHeight="1" spans="1:25">
      <c r="A8" s="23"/>
      <c r="B8" s="24" t="s">
        <v>22</v>
      </c>
      <c r="C8" s="25">
        <f t="shared" si="0"/>
        <v>7.92</v>
      </c>
      <c r="D8" s="26">
        <v>5.94</v>
      </c>
      <c r="E8" s="25">
        <v>0</v>
      </c>
      <c r="F8" s="25">
        <f t="shared" si="1"/>
        <v>1.98</v>
      </c>
      <c r="G8" s="35">
        <v>0.2</v>
      </c>
      <c r="H8" s="28">
        <f t="shared" si="17"/>
        <v>0.2</v>
      </c>
      <c r="I8" s="28">
        <v>0.006</v>
      </c>
      <c r="J8" s="29">
        <v>0.2</v>
      </c>
      <c r="K8" s="30">
        <f t="shared" si="2"/>
        <v>7.92</v>
      </c>
      <c r="L8" s="30">
        <f t="shared" si="3"/>
        <v>14.5</v>
      </c>
      <c r="M8" s="30">
        <f t="shared" si="4"/>
        <v>7.92</v>
      </c>
      <c r="N8" s="31">
        <f t="shared" si="5"/>
        <v>13.2</v>
      </c>
      <c r="O8" s="31">
        <f t="shared" si="6"/>
        <v>20.84</v>
      </c>
      <c r="P8" s="32">
        <f t="shared" si="7"/>
        <v>13.2</v>
      </c>
      <c r="Q8" s="19">
        <f t="shared" si="8"/>
        <v>25.3</v>
      </c>
      <c r="R8" s="19">
        <f t="shared" si="9"/>
        <v>22.92</v>
      </c>
      <c r="S8" s="19">
        <f t="shared" si="10"/>
        <v>25.3</v>
      </c>
      <c r="T8" s="20">
        <f t="shared" si="11"/>
        <v>21.53</v>
      </c>
      <c r="U8" s="20">
        <f t="shared" si="12"/>
        <v>32.5</v>
      </c>
      <c r="V8" s="20">
        <f t="shared" si="13"/>
        <v>21.53</v>
      </c>
      <c r="W8" s="33">
        <f t="shared" si="14"/>
        <v>5.3</v>
      </c>
      <c r="X8" s="33">
        <f t="shared" si="15"/>
        <v>1.584</v>
      </c>
      <c r="Y8" s="33">
        <f t="shared" si="16"/>
        <v>3.15</v>
      </c>
    </row>
    <row r="9" s="3" customFormat="1" ht="15" customHeight="1" spans="1:25">
      <c r="A9" s="23"/>
      <c r="B9" s="24" t="s">
        <v>22</v>
      </c>
      <c r="C9" s="25">
        <f t="shared" si="0"/>
        <v>0</v>
      </c>
      <c r="D9" s="26"/>
      <c r="E9" s="25">
        <v>0</v>
      </c>
      <c r="F9" s="25">
        <f t="shared" si="1"/>
        <v>0</v>
      </c>
      <c r="G9" s="27">
        <v>0.2</v>
      </c>
      <c r="H9" s="28" t="e">
        <f t="shared" si="17"/>
        <v>#DIV/0!</v>
      </c>
      <c r="I9" s="28">
        <v>0.006</v>
      </c>
      <c r="J9" s="29">
        <v>0.2</v>
      </c>
      <c r="K9" s="30">
        <f t="shared" si="2"/>
        <v>0</v>
      </c>
      <c r="L9" s="30">
        <f t="shared" si="3"/>
        <v>0</v>
      </c>
      <c r="M9" s="30">
        <f t="shared" si="4"/>
        <v>0</v>
      </c>
      <c r="N9" s="31">
        <f t="shared" si="5"/>
        <v>0</v>
      </c>
      <c r="O9" s="31">
        <f t="shared" si="6"/>
        <v>0</v>
      </c>
      <c r="P9" s="32">
        <f t="shared" si="7"/>
        <v>0</v>
      </c>
      <c r="Q9" s="19">
        <f t="shared" si="8"/>
        <v>0</v>
      </c>
      <c r="R9" s="19">
        <f t="shared" si="9"/>
        <v>0</v>
      </c>
      <c r="S9" s="19">
        <f t="shared" si="10"/>
        <v>0</v>
      </c>
      <c r="T9" s="20">
        <f t="shared" si="11"/>
        <v>0</v>
      </c>
      <c r="U9" s="20">
        <f t="shared" si="12"/>
        <v>0</v>
      </c>
      <c r="V9" s="20">
        <f t="shared" si="13"/>
        <v>0</v>
      </c>
      <c r="W9" s="33" t="e">
        <f t="shared" si="14"/>
        <v>#DIV/0!</v>
      </c>
      <c r="X9" s="33">
        <f t="shared" si="15"/>
        <v>0</v>
      </c>
      <c r="Y9" s="33" t="e">
        <f t="shared" si="16"/>
        <v>#DIV/0!</v>
      </c>
    </row>
    <row r="10" s="3" customFormat="1" ht="14.25" customHeight="1" spans="1:25">
      <c r="A10" s="23"/>
      <c r="B10" s="24" t="s">
        <v>22</v>
      </c>
      <c r="C10" s="25">
        <f t="shared" si="0"/>
        <v>0</v>
      </c>
      <c r="D10" s="26"/>
      <c r="E10" s="25">
        <v>0</v>
      </c>
      <c r="F10" s="25">
        <f t="shared" si="1"/>
        <v>0</v>
      </c>
      <c r="G10" s="35">
        <v>0.2</v>
      </c>
      <c r="H10" s="28" t="e">
        <f t="shared" si="17"/>
        <v>#DIV/0!</v>
      </c>
      <c r="I10" s="28">
        <v>0.006</v>
      </c>
      <c r="J10" s="29">
        <v>0.2</v>
      </c>
      <c r="K10" s="30">
        <f t="shared" si="2"/>
        <v>0</v>
      </c>
      <c r="L10" s="30">
        <f t="shared" si="3"/>
        <v>0</v>
      </c>
      <c r="M10" s="30">
        <f t="shared" si="4"/>
        <v>0</v>
      </c>
      <c r="N10" s="31">
        <f t="shared" si="5"/>
        <v>0</v>
      </c>
      <c r="O10" s="31">
        <f t="shared" si="6"/>
        <v>0</v>
      </c>
      <c r="P10" s="32">
        <f t="shared" si="7"/>
        <v>0</v>
      </c>
      <c r="Q10" s="19">
        <f t="shared" si="8"/>
        <v>0</v>
      </c>
      <c r="R10" s="19">
        <f t="shared" si="9"/>
        <v>0</v>
      </c>
      <c r="S10" s="19">
        <f t="shared" si="10"/>
        <v>0</v>
      </c>
      <c r="T10" s="20">
        <f t="shared" si="11"/>
        <v>0</v>
      </c>
      <c r="U10" s="20">
        <f t="shared" si="12"/>
        <v>0</v>
      </c>
      <c r="V10" s="20">
        <f t="shared" si="13"/>
        <v>0</v>
      </c>
      <c r="W10" s="33" t="e">
        <f t="shared" si="14"/>
        <v>#DIV/0!</v>
      </c>
      <c r="X10" s="33">
        <f t="shared" si="15"/>
        <v>0</v>
      </c>
      <c r="Y10" s="33" t="e">
        <f t="shared" si="16"/>
        <v>#DIV/0!</v>
      </c>
    </row>
    <row r="11" s="3" customFormat="1" ht="14.25" customHeight="1" spans="1:25">
      <c r="A11" s="23"/>
      <c r="B11" s="24" t="s">
        <v>22</v>
      </c>
      <c r="C11" s="25">
        <f t="shared" si="0"/>
        <v>0</v>
      </c>
      <c r="D11" s="26"/>
      <c r="E11" s="25">
        <v>0</v>
      </c>
      <c r="F11" s="25">
        <f t="shared" si="1"/>
        <v>0</v>
      </c>
      <c r="G11" s="35">
        <v>0.2</v>
      </c>
      <c r="H11" s="28" t="e">
        <f t="shared" si="17"/>
        <v>#DIV/0!</v>
      </c>
      <c r="I11" s="28">
        <v>0.006</v>
      </c>
      <c r="J11" s="29">
        <v>0.2</v>
      </c>
      <c r="K11" s="30">
        <f t="shared" si="2"/>
        <v>0</v>
      </c>
      <c r="L11" s="30">
        <f t="shared" si="3"/>
        <v>0</v>
      </c>
      <c r="M11" s="30">
        <f t="shared" si="4"/>
        <v>0</v>
      </c>
      <c r="N11" s="31">
        <f t="shared" si="5"/>
        <v>0</v>
      </c>
      <c r="O11" s="31">
        <f t="shared" si="6"/>
        <v>0</v>
      </c>
      <c r="P11" s="32">
        <f t="shared" si="7"/>
        <v>0</v>
      </c>
      <c r="Q11" s="19">
        <f t="shared" si="8"/>
        <v>0</v>
      </c>
      <c r="R11" s="19">
        <f t="shared" si="9"/>
        <v>0</v>
      </c>
      <c r="S11" s="19">
        <f t="shared" si="10"/>
        <v>0</v>
      </c>
      <c r="T11" s="20">
        <f t="shared" si="11"/>
        <v>0</v>
      </c>
      <c r="U11" s="20">
        <f t="shared" si="12"/>
        <v>0</v>
      </c>
      <c r="V11" s="20">
        <f t="shared" si="13"/>
        <v>0</v>
      </c>
      <c r="W11" s="33" t="e">
        <f t="shared" si="14"/>
        <v>#DIV/0!</v>
      </c>
      <c r="X11" s="33">
        <f t="shared" si="15"/>
        <v>0</v>
      </c>
      <c r="Y11" s="33" t="e">
        <f t="shared" si="16"/>
        <v>#DIV/0!</v>
      </c>
    </row>
    <row r="12" s="3" customFormat="1" ht="14.25" customHeight="1" spans="1:25">
      <c r="A12" s="23"/>
      <c r="B12" s="24" t="s">
        <v>22</v>
      </c>
      <c r="C12" s="25">
        <f t="shared" si="0"/>
        <v>0</v>
      </c>
      <c r="D12" s="26"/>
      <c r="E12" s="25">
        <v>0</v>
      </c>
      <c r="F12" s="25">
        <f t="shared" si="1"/>
        <v>0</v>
      </c>
      <c r="G12" s="35">
        <v>0.2</v>
      </c>
      <c r="H12" s="28" t="e">
        <f t="shared" si="17"/>
        <v>#DIV/0!</v>
      </c>
      <c r="I12" s="28">
        <v>0.006</v>
      </c>
      <c r="J12" s="29">
        <v>0.2</v>
      </c>
      <c r="K12" s="30">
        <f t="shared" si="2"/>
        <v>0</v>
      </c>
      <c r="L12" s="30">
        <f t="shared" si="3"/>
        <v>0</v>
      </c>
      <c r="M12" s="30">
        <f t="shared" si="4"/>
        <v>0</v>
      </c>
      <c r="N12" s="31">
        <f t="shared" si="5"/>
        <v>0</v>
      </c>
      <c r="O12" s="31">
        <f t="shared" si="6"/>
        <v>0</v>
      </c>
      <c r="P12" s="32">
        <f t="shared" si="7"/>
        <v>0</v>
      </c>
      <c r="Q12" s="19">
        <f t="shared" si="8"/>
        <v>0</v>
      </c>
      <c r="R12" s="19">
        <f t="shared" si="9"/>
        <v>0</v>
      </c>
      <c r="S12" s="19">
        <f t="shared" si="10"/>
        <v>0</v>
      </c>
      <c r="T12" s="20">
        <f t="shared" si="11"/>
        <v>0</v>
      </c>
      <c r="U12" s="20">
        <f t="shared" si="12"/>
        <v>0</v>
      </c>
      <c r="V12" s="20">
        <f t="shared" si="13"/>
        <v>0</v>
      </c>
      <c r="W12" s="33" t="e">
        <f t="shared" si="14"/>
        <v>#DIV/0!</v>
      </c>
      <c r="X12" s="33">
        <f t="shared" si="15"/>
        <v>0</v>
      </c>
      <c r="Y12" s="33" t="e">
        <f t="shared" si="16"/>
        <v>#DIV/0!</v>
      </c>
    </row>
    <row r="13" s="3" customFormat="1" ht="14.25" customHeight="1" spans="1:25">
      <c r="A13" s="23"/>
      <c r="B13" s="24" t="s">
        <v>22</v>
      </c>
      <c r="C13" s="25">
        <f t="shared" si="0"/>
        <v>0</v>
      </c>
      <c r="D13" s="26"/>
      <c r="E13" s="25">
        <v>0</v>
      </c>
      <c r="F13" s="25">
        <f t="shared" ref="F13:F42" si="18">C13-D13-E13</f>
        <v>0</v>
      </c>
      <c r="G13" s="27">
        <v>0.2</v>
      </c>
      <c r="H13" s="28" t="e">
        <f t="shared" si="17"/>
        <v>#DIV/0!</v>
      </c>
      <c r="I13" s="28">
        <v>0.006</v>
      </c>
      <c r="J13" s="29">
        <v>0.2</v>
      </c>
      <c r="K13" s="30">
        <f t="shared" si="2"/>
        <v>0</v>
      </c>
      <c r="L13" s="30">
        <f t="shared" si="3"/>
        <v>0</v>
      </c>
      <c r="M13" s="30">
        <f t="shared" si="4"/>
        <v>0</v>
      </c>
      <c r="N13" s="31">
        <f t="shared" si="5"/>
        <v>0</v>
      </c>
      <c r="O13" s="31">
        <f t="shared" si="6"/>
        <v>0</v>
      </c>
      <c r="P13" s="32">
        <f t="shared" si="7"/>
        <v>0</v>
      </c>
      <c r="Q13" s="19">
        <f t="shared" si="8"/>
        <v>0</v>
      </c>
      <c r="R13" s="19">
        <f t="shared" si="9"/>
        <v>0</v>
      </c>
      <c r="S13" s="19">
        <f t="shared" si="10"/>
        <v>0</v>
      </c>
      <c r="T13" s="20">
        <f t="shared" si="11"/>
        <v>0</v>
      </c>
      <c r="U13" s="20">
        <f t="shared" si="12"/>
        <v>0</v>
      </c>
      <c r="V13" s="20">
        <f t="shared" si="13"/>
        <v>0</v>
      </c>
      <c r="W13" s="33" t="e">
        <f t="shared" si="14"/>
        <v>#DIV/0!</v>
      </c>
      <c r="X13" s="33">
        <f t="shared" ref="X13:X42" si="19">F13*(1-G13)</f>
        <v>0</v>
      </c>
      <c r="Y13" s="33" t="e">
        <f t="shared" ref="Y13:Y42" si="20">W13/2+0.5</f>
        <v>#DIV/0!</v>
      </c>
    </row>
    <row r="14" s="3" customFormat="1" ht="14.25" customHeight="1" spans="1:25">
      <c r="A14" s="23"/>
      <c r="B14" s="24" t="s">
        <v>22</v>
      </c>
      <c r="C14" s="25">
        <f t="shared" si="0"/>
        <v>0</v>
      </c>
      <c r="D14" s="26"/>
      <c r="E14" s="25">
        <v>0</v>
      </c>
      <c r="F14" s="25">
        <f t="shared" si="18"/>
        <v>0</v>
      </c>
      <c r="G14" s="27">
        <v>0.2</v>
      </c>
      <c r="H14" s="28" t="e">
        <f t="shared" si="17"/>
        <v>#DIV/0!</v>
      </c>
      <c r="I14" s="28">
        <v>0.006</v>
      </c>
      <c r="J14" s="29">
        <v>0.2</v>
      </c>
      <c r="K14" s="30">
        <f t="shared" si="2"/>
        <v>0</v>
      </c>
      <c r="L14" s="30">
        <f t="shared" si="3"/>
        <v>0</v>
      </c>
      <c r="M14" s="30">
        <f t="shared" si="4"/>
        <v>0</v>
      </c>
      <c r="N14" s="31">
        <f t="shared" si="5"/>
        <v>0</v>
      </c>
      <c r="O14" s="31">
        <f t="shared" si="6"/>
        <v>0</v>
      </c>
      <c r="P14" s="32">
        <f t="shared" si="7"/>
        <v>0</v>
      </c>
      <c r="Q14" s="19">
        <f t="shared" si="8"/>
        <v>0</v>
      </c>
      <c r="R14" s="19">
        <f t="shared" si="9"/>
        <v>0</v>
      </c>
      <c r="S14" s="19">
        <f t="shared" si="10"/>
        <v>0</v>
      </c>
      <c r="T14" s="20">
        <f t="shared" si="11"/>
        <v>0</v>
      </c>
      <c r="U14" s="20">
        <f t="shared" si="12"/>
        <v>0</v>
      </c>
      <c r="V14" s="20">
        <f t="shared" si="13"/>
        <v>0</v>
      </c>
      <c r="W14" s="33" t="e">
        <f t="shared" si="14"/>
        <v>#DIV/0!</v>
      </c>
      <c r="X14" s="33">
        <f t="shared" si="19"/>
        <v>0</v>
      </c>
      <c r="Y14" s="33" t="e">
        <f t="shared" si="20"/>
        <v>#DIV/0!</v>
      </c>
    </row>
    <row r="15" s="3" customFormat="1" ht="14.25" customHeight="1" spans="1:25">
      <c r="A15" s="23"/>
      <c r="B15" s="24" t="s">
        <v>22</v>
      </c>
      <c r="C15" s="25">
        <f t="shared" si="0"/>
        <v>0</v>
      </c>
      <c r="D15" s="26"/>
      <c r="E15" s="25">
        <v>0</v>
      </c>
      <c r="F15" s="25">
        <f t="shared" si="18"/>
        <v>0</v>
      </c>
      <c r="G15" s="34">
        <v>0.2</v>
      </c>
      <c r="H15" s="28" t="e">
        <f t="shared" si="17"/>
        <v>#DIV/0!</v>
      </c>
      <c r="I15" s="28">
        <v>0.006</v>
      </c>
      <c r="J15" s="29">
        <v>0.2</v>
      </c>
      <c r="K15" s="30">
        <f t="shared" si="2"/>
        <v>0</v>
      </c>
      <c r="L15" s="30">
        <f t="shared" si="3"/>
        <v>0</v>
      </c>
      <c r="M15" s="30">
        <f t="shared" si="4"/>
        <v>0</v>
      </c>
      <c r="N15" s="31">
        <f t="shared" si="5"/>
        <v>0</v>
      </c>
      <c r="O15" s="31">
        <f t="shared" si="6"/>
        <v>0</v>
      </c>
      <c r="P15" s="32">
        <f t="shared" si="7"/>
        <v>0</v>
      </c>
      <c r="Q15" s="19">
        <f t="shared" si="8"/>
        <v>0</v>
      </c>
      <c r="R15" s="19">
        <f t="shared" si="9"/>
        <v>0</v>
      </c>
      <c r="S15" s="19">
        <f t="shared" si="10"/>
        <v>0</v>
      </c>
      <c r="T15" s="20">
        <f t="shared" si="11"/>
        <v>0</v>
      </c>
      <c r="U15" s="20">
        <f t="shared" si="12"/>
        <v>0</v>
      </c>
      <c r="V15" s="20">
        <f t="shared" si="13"/>
        <v>0</v>
      </c>
      <c r="W15" s="33" t="e">
        <f t="shared" si="14"/>
        <v>#DIV/0!</v>
      </c>
      <c r="X15" s="33">
        <f t="shared" si="19"/>
        <v>0</v>
      </c>
      <c r="Y15" s="33" t="e">
        <f t="shared" si="20"/>
        <v>#DIV/0!</v>
      </c>
    </row>
    <row r="16" s="3" customFormat="1" ht="14.25" customHeight="1" spans="1:25">
      <c r="A16" s="23"/>
      <c r="B16" s="24" t="s">
        <v>22</v>
      </c>
      <c r="C16" s="25">
        <f t="shared" si="0"/>
        <v>0</v>
      </c>
      <c r="D16" s="26"/>
      <c r="E16" s="25">
        <v>0</v>
      </c>
      <c r="F16" s="25">
        <f t="shared" si="18"/>
        <v>0</v>
      </c>
      <c r="G16" s="27">
        <v>0.2</v>
      </c>
      <c r="H16" s="28" t="e">
        <f t="shared" si="17"/>
        <v>#DIV/0!</v>
      </c>
      <c r="I16" s="28">
        <v>0.006</v>
      </c>
      <c r="J16" s="29">
        <v>0.2</v>
      </c>
      <c r="K16" s="30">
        <f t="shared" si="2"/>
        <v>0</v>
      </c>
      <c r="L16" s="30">
        <f t="shared" si="3"/>
        <v>0</v>
      </c>
      <c r="M16" s="30">
        <f t="shared" si="4"/>
        <v>0</v>
      </c>
      <c r="N16" s="31">
        <f t="shared" si="5"/>
        <v>0</v>
      </c>
      <c r="O16" s="31">
        <f t="shared" si="6"/>
        <v>0</v>
      </c>
      <c r="P16" s="32">
        <f t="shared" si="7"/>
        <v>0</v>
      </c>
      <c r="Q16" s="19">
        <f t="shared" si="8"/>
        <v>0</v>
      </c>
      <c r="R16" s="19">
        <f t="shared" si="9"/>
        <v>0</v>
      </c>
      <c r="S16" s="19">
        <f t="shared" si="10"/>
        <v>0</v>
      </c>
      <c r="T16" s="20">
        <f t="shared" si="11"/>
        <v>0</v>
      </c>
      <c r="U16" s="20">
        <f t="shared" si="12"/>
        <v>0</v>
      </c>
      <c r="V16" s="20">
        <f t="shared" si="13"/>
        <v>0</v>
      </c>
      <c r="W16" s="33" t="e">
        <f t="shared" si="14"/>
        <v>#DIV/0!</v>
      </c>
      <c r="X16" s="33">
        <f t="shared" si="19"/>
        <v>0</v>
      </c>
      <c r="Y16" s="33" t="e">
        <f t="shared" si="20"/>
        <v>#DIV/0!</v>
      </c>
    </row>
    <row r="17" s="3" customFormat="1" ht="14.25" customHeight="1" spans="1:25">
      <c r="A17" s="23"/>
      <c r="B17" s="24" t="s">
        <v>22</v>
      </c>
      <c r="C17" s="25">
        <f t="shared" si="0"/>
        <v>0</v>
      </c>
      <c r="D17" s="26"/>
      <c r="E17" s="25">
        <v>0</v>
      </c>
      <c r="F17" s="25">
        <f t="shared" si="18"/>
        <v>0</v>
      </c>
      <c r="G17" s="34">
        <v>0.2</v>
      </c>
      <c r="H17" s="28" t="e">
        <f t="shared" si="17"/>
        <v>#DIV/0!</v>
      </c>
      <c r="I17" s="28">
        <v>0.006</v>
      </c>
      <c r="J17" s="29">
        <v>0.2</v>
      </c>
      <c r="K17" s="30">
        <f t="shared" si="2"/>
        <v>0</v>
      </c>
      <c r="L17" s="30">
        <f t="shared" si="3"/>
        <v>0</v>
      </c>
      <c r="M17" s="30">
        <f t="shared" si="4"/>
        <v>0</v>
      </c>
      <c r="N17" s="31">
        <f t="shared" si="5"/>
        <v>0</v>
      </c>
      <c r="O17" s="31">
        <f t="shared" si="6"/>
        <v>0</v>
      </c>
      <c r="P17" s="32">
        <f t="shared" si="7"/>
        <v>0</v>
      </c>
      <c r="Q17" s="19">
        <f t="shared" si="8"/>
        <v>0</v>
      </c>
      <c r="R17" s="19">
        <f t="shared" si="9"/>
        <v>0</v>
      </c>
      <c r="S17" s="19">
        <f t="shared" si="10"/>
        <v>0</v>
      </c>
      <c r="T17" s="20">
        <f t="shared" si="11"/>
        <v>0</v>
      </c>
      <c r="U17" s="20">
        <f t="shared" si="12"/>
        <v>0</v>
      </c>
      <c r="V17" s="20">
        <f t="shared" si="13"/>
        <v>0</v>
      </c>
      <c r="W17" s="33" t="e">
        <f t="shared" si="14"/>
        <v>#DIV/0!</v>
      </c>
      <c r="X17" s="33">
        <f t="shared" si="19"/>
        <v>0</v>
      </c>
      <c r="Y17" s="33" t="e">
        <f t="shared" si="20"/>
        <v>#DIV/0!</v>
      </c>
    </row>
    <row r="18" s="3" customFormat="1" ht="14.25" customHeight="1" spans="1:25">
      <c r="A18" s="23"/>
      <c r="B18" s="24" t="s">
        <v>22</v>
      </c>
      <c r="C18" s="25">
        <f t="shared" si="0"/>
        <v>0</v>
      </c>
      <c r="D18" s="26"/>
      <c r="E18" s="25">
        <v>0</v>
      </c>
      <c r="F18" s="25">
        <f t="shared" si="18"/>
        <v>0</v>
      </c>
      <c r="G18" s="35">
        <v>0.2</v>
      </c>
      <c r="H18" s="28" t="e">
        <f t="shared" si="17"/>
        <v>#DIV/0!</v>
      </c>
      <c r="I18" s="28">
        <v>0.006</v>
      </c>
      <c r="J18" s="29">
        <v>0.2</v>
      </c>
      <c r="K18" s="30">
        <f t="shared" si="2"/>
        <v>0</v>
      </c>
      <c r="L18" s="30">
        <f t="shared" si="3"/>
        <v>0</v>
      </c>
      <c r="M18" s="30">
        <f t="shared" si="4"/>
        <v>0</v>
      </c>
      <c r="N18" s="31">
        <f t="shared" si="5"/>
        <v>0</v>
      </c>
      <c r="O18" s="31">
        <f t="shared" si="6"/>
        <v>0</v>
      </c>
      <c r="P18" s="32">
        <f t="shared" si="7"/>
        <v>0</v>
      </c>
      <c r="Q18" s="19">
        <f t="shared" si="8"/>
        <v>0</v>
      </c>
      <c r="R18" s="19">
        <f t="shared" si="9"/>
        <v>0</v>
      </c>
      <c r="S18" s="19">
        <f t="shared" si="10"/>
        <v>0</v>
      </c>
      <c r="T18" s="20">
        <f t="shared" si="11"/>
        <v>0</v>
      </c>
      <c r="U18" s="20">
        <f t="shared" si="12"/>
        <v>0</v>
      </c>
      <c r="V18" s="20">
        <f t="shared" si="13"/>
        <v>0</v>
      </c>
      <c r="W18" s="33" t="e">
        <f t="shared" si="14"/>
        <v>#DIV/0!</v>
      </c>
      <c r="X18" s="33">
        <f t="shared" si="19"/>
        <v>0</v>
      </c>
      <c r="Y18" s="33" t="e">
        <f t="shared" si="20"/>
        <v>#DIV/0!</v>
      </c>
    </row>
    <row r="19" s="3" customFormat="1" ht="14.25" customHeight="1" spans="1:25">
      <c r="A19" s="23"/>
      <c r="B19" s="24" t="s">
        <v>22</v>
      </c>
      <c r="C19" s="25">
        <f t="shared" si="0"/>
        <v>0</v>
      </c>
      <c r="D19" s="26"/>
      <c r="E19" s="25">
        <v>0</v>
      </c>
      <c r="F19" s="25">
        <f t="shared" si="18"/>
        <v>0</v>
      </c>
      <c r="G19" s="27">
        <v>0.2</v>
      </c>
      <c r="H19" s="28" t="e">
        <f t="shared" si="17"/>
        <v>#DIV/0!</v>
      </c>
      <c r="I19" s="28">
        <v>0.006</v>
      </c>
      <c r="J19" s="29">
        <v>0.2</v>
      </c>
      <c r="K19" s="30">
        <f t="shared" si="2"/>
        <v>0</v>
      </c>
      <c r="L19" s="30">
        <f t="shared" si="3"/>
        <v>0</v>
      </c>
      <c r="M19" s="30">
        <f t="shared" si="4"/>
        <v>0</v>
      </c>
      <c r="N19" s="31">
        <f t="shared" si="5"/>
        <v>0</v>
      </c>
      <c r="O19" s="31">
        <f t="shared" si="6"/>
        <v>0</v>
      </c>
      <c r="P19" s="32">
        <f t="shared" si="7"/>
        <v>0</v>
      </c>
      <c r="Q19" s="19">
        <f t="shared" si="8"/>
        <v>0</v>
      </c>
      <c r="R19" s="19">
        <f t="shared" si="9"/>
        <v>0</v>
      </c>
      <c r="S19" s="19">
        <f t="shared" si="10"/>
        <v>0</v>
      </c>
      <c r="T19" s="20">
        <f t="shared" si="11"/>
        <v>0</v>
      </c>
      <c r="U19" s="20">
        <f t="shared" si="12"/>
        <v>0</v>
      </c>
      <c r="V19" s="20">
        <f t="shared" si="13"/>
        <v>0</v>
      </c>
      <c r="W19" s="33" t="e">
        <f t="shared" si="14"/>
        <v>#DIV/0!</v>
      </c>
      <c r="X19" s="33">
        <f t="shared" si="19"/>
        <v>0</v>
      </c>
      <c r="Y19" s="33" t="e">
        <f t="shared" si="20"/>
        <v>#DIV/0!</v>
      </c>
    </row>
    <row r="20" s="3" customFormat="1" ht="14.25" customHeight="1" spans="1:25">
      <c r="A20" s="23"/>
      <c r="B20" s="24" t="s">
        <v>22</v>
      </c>
      <c r="C20" s="25">
        <f t="shared" si="0"/>
        <v>0</v>
      </c>
      <c r="D20" s="26"/>
      <c r="E20" s="25">
        <v>0</v>
      </c>
      <c r="F20" s="25">
        <f t="shared" si="18"/>
        <v>0</v>
      </c>
      <c r="G20" s="35">
        <v>0.2</v>
      </c>
      <c r="H20" s="28" t="e">
        <f t="shared" si="17"/>
        <v>#DIV/0!</v>
      </c>
      <c r="I20" s="28">
        <v>0.006</v>
      </c>
      <c r="J20" s="29">
        <v>0.2</v>
      </c>
      <c r="K20" s="30">
        <f t="shared" si="2"/>
        <v>0</v>
      </c>
      <c r="L20" s="30">
        <f t="shared" si="3"/>
        <v>0</v>
      </c>
      <c r="M20" s="30">
        <f t="shared" si="4"/>
        <v>0</v>
      </c>
      <c r="N20" s="31">
        <f t="shared" si="5"/>
        <v>0</v>
      </c>
      <c r="O20" s="31">
        <f t="shared" si="6"/>
        <v>0</v>
      </c>
      <c r="P20" s="32">
        <f t="shared" si="7"/>
        <v>0</v>
      </c>
      <c r="Q20" s="19">
        <f t="shared" si="8"/>
        <v>0</v>
      </c>
      <c r="R20" s="19">
        <f t="shared" si="9"/>
        <v>0</v>
      </c>
      <c r="S20" s="19">
        <f t="shared" si="10"/>
        <v>0</v>
      </c>
      <c r="T20" s="20">
        <f t="shared" si="11"/>
        <v>0</v>
      </c>
      <c r="U20" s="20">
        <f t="shared" si="12"/>
        <v>0</v>
      </c>
      <c r="V20" s="20">
        <f t="shared" si="13"/>
        <v>0</v>
      </c>
      <c r="W20" s="33" t="e">
        <f t="shared" si="14"/>
        <v>#DIV/0!</v>
      </c>
      <c r="X20" s="33">
        <f t="shared" si="19"/>
        <v>0</v>
      </c>
      <c r="Y20" s="33" t="e">
        <f t="shared" si="20"/>
        <v>#DIV/0!</v>
      </c>
    </row>
    <row r="21" s="3" customFormat="1" ht="14.25" customHeight="1" spans="1:25">
      <c r="A21" s="23"/>
      <c r="B21" s="24" t="s">
        <v>22</v>
      </c>
      <c r="C21" s="25">
        <f t="shared" si="0"/>
        <v>0</v>
      </c>
      <c r="D21" s="26"/>
      <c r="E21" s="25">
        <v>0</v>
      </c>
      <c r="F21" s="25">
        <f t="shared" si="18"/>
        <v>0</v>
      </c>
      <c r="G21" s="35">
        <v>0.2</v>
      </c>
      <c r="H21" s="28" t="e">
        <f t="shared" si="17"/>
        <v>#DIV/0!</v>
      </c>
      <c r="I21" s="28">
        <v>0.006</v>
      </c>
      <c r="J21" s="29">
        <v>0.2</v>
      </c>
      <c r="K21" s="30">
        <f t="shared" si="2"/>
        <v>0</v>
      </c>
      <c r="L21" s="30">
        <f t="shared" si="3"/>
        <v>0</v>
      </c>
      <c r="M21" s="30">
        <f t="shared" si="4"/>
        <v>0</v>
      </c>
      <c r="N21" s="31">
        <f t="shared" si="5"/>
        <v>0</v>
      </c>
      <c r="O21" s="31">
        <f t="shared" si="6"/>
        <v>0</v>
      </c>
      <c r="P21" s="32">
        <f t="shared" si="7"/>
        <v>0</v>
      </c>
      <c r="Q21" s="19">
        <f t="shared" si="8"/>
        <v>0</v>
      </c>
      <c r="R21" s="19">
        <f t="shared" si="9"/>
        <v>0</v>
      </c>
      <c r="S21" s="19">
        <f t="shared" si="10"/>
        <v>0</v>
      </c>
      <c r="T21" s="20">
        <f t="shared" si="11"/>
        <v>0</v>
      </c>
      <c r="U21" s="20">
        <f t="shared" si="12"/>
        <v>0</v>
      </c>
      <c r="V21" s="20">
        <f t="shared" si="13"/>
        <v>0</v>
      </c>
      <c r="W21" s="33" t="e">
        <f t="shared" si="14"/>
        <v>#DIV/0!</v>
      </c>
      <c r="X21" s="33">
        <f t="shared" si="19"/>
        <v>0</v>
      </c>
      <c r="Y21" s="33" t="e">
        <f t="shared" si="20"/>
        <v>#DIV/0!</v>
      </c>
    </row>
    <row r="22" s="3" customFormat="1" ht="14.25" customHeight="1" spans="1:25">
      <c r="A22" s="23"/>
      <c r="B22" s="24" t="s">
        <v>22</v>
      </c>
      <c r="C22" s="25">
        <f t="shared" si="0"/>
        <v>0</v>
      </c>
      <c r="D22" s="26"/>
      <c r="E22" s="25">
        <v>0</v>
      </c>
      <c r="F22" s="25">
        <f t="shared" si="18"/>
        <v>0</v>
      </c>
      <c r="G22" s="35">
        <v>0.2</v>
      </c>
      <c r="H22" s="28" t="e">
        <f t="shared" si="17"/>
        <v>#DIV/0!</v>
      </c>
      <c r="I22" s="28">
        <v>0.006</v>
      </c>
      <c r="J22" s="29">
        <v>0.2</v>
      </c>
      <c r="K22" s="30">
        <f t="shared" si="2"/>
        <v>0</v>
      </c>
      <c r="L22" s="30">
        <f t="shared" si="3"/>
        <v>0</v>
      </c>
      <c r="M22" s="30">
        <f t="shared" si="4"/>
        <v>0</v>
      </c>
      <c r="N22" s="31">
        <f t="shared" si="5"/>
        <v>0</v>
      </c>
      <c r="O22" s="31">
        <f t="shared" si="6"/>
        <v>0</v>
      </c>
      <c r="P22" s="32">
        <f t="shared" si="7"/>
        <v>0</v>
      </c>
      <c r="Q22" s="19">
        <f t="shared" si="8"/>
        <v>0</v>
      </c>
      <c r="R22" s="19">
        <f t="shared" si="9"/>
        <v>0</v>
      </c>
      <c r="S22" s="19">
        <f t="shared" si="10"/>
        <v>0</v>
      </c>
      <c r="T22" s="20">
        <f t="shared" si="11"/>
        <v>0</v>
      </c>
      <c r="U22" s="20">
        <f t="shared" si="12"/>
        <v>0</v>
      </c>
      <c r="V22" s="20">
        <f t="shared" si="13"/>
        <v>0</v>
      </c>
      <c r="W22" s="33" t="e">
        <f t="shared" si="14"/>
        <v>#DIV/0!</v>
      </c>
      <c r="X22" s="33">
        <f t="shared" si="19"/>
        <v>0</v>
      </c>
      <c r="Y22" s="33" t="e">
        <f t="shared" si="20"/>
        <v>#DIV/0!</v>
      </c>
    </row>
    <row r="23" s="3" customFormat="1" ht="14.25" customHeight="1" spans="1:25">
      <c r="A23" s="23"/>
      <c r="B23" s="24" t="s">
        <v>22</v>
      </c>
      <c r="C23" s="25">
        <f t="shared" si="0"/>
        <v>0</v>
      </c>
      <c r="D23" s="26"/>
      <c r="E23" s="25">
        <v>0</v>
      </c>
      <c r="F23" s="25">
        <f t="shared" si="18"/>
        <v>0</v>
      </c>
      <c r="G23" s="27">
        <v>0.2</v>
      </c>
      <c r="H23" s="28" t="e">
        <f t="shared" si="17"/>
        <v>#DIV/0!</v>
      </c>
      <c r="I23" s="28">
        <v>0.006</v>
      </c>
      <c r="J23" s="29">
        <v>0.2</v>
      </c>
      <c r="K23" s="30">
        <f t="shared" si="2"/>
        <v>0</v>
      </c>
      <c r="L23" s="30">
        <f t="shared" si="3"/>
        <v>0</v>
      </c>
      <c r="M23" s="30">
        <f t="shared" si="4"/>
        <v>0</v>
      </c>
      <c r="N23" s="31">
        <f t="shared" si="5"/>
        <v>0</v>
      </c>
      <c r="O23" s="31">
        <f t="shared" si="6"/>
        <v>0</v>
      </c>
      <c r="P23" s="32">
        <f t="shared" si="7"/>
        <v>0</v>
      </c>
      <c r="Q23" s="19">
        <f t="shared" si="8"/>
        <v>0</v>
      </c>
      <c r="R23" s="19">
        <f t="shared" si="9"/>
        <v>0</v>
      </c>
      <c r="S23" s="19">
        <f t="shared" si="10"/>
        <v>0</v>
      </c>
      <c r="T23" s="20">
        <f t="shared" si="11"/>
        <v>0</v>
      </c>
      <c r="U23" s="20">
        <f t="shared" si="12"/>
        <v>0</v>
      </c>
      <c r="V23" s="20">
        <f t="shared" si="13"/>
        <v>0</v>
      </c>
      <c r="W23" s="33" t="e">
        <f t="shared" si="14"/>
        <v>#DIV/0!</v>
      </c>
      <c r="X23" s="33">
        <f t="shared" si="19"/>
        <v>0</v>
      </c>
      <c r="Y23" s="33" t="e">
        <f t="shared" si="20"/>
        <v>#DIV/0!</v>
      </c>
    </row>
    <row r="24" s="3" customFormat="1" ht="14.25" customHeight="1" spans="1:25">
      <c r="A24" s="23"/>
      <c r="B24" s="24" t="s">
        <v>22</v>
      </c>
      <c r="C24" s="25">
        <f t="shared" si="0"/>
        <v>9.67</v>
      </c>
      <c r="D24" s="26">
        <v>7.25</v>
      </c>
      <c r="E24" s="25">
        <v>0</v>
      </c>
      <c r="F24" s="25">
        <f t="shared" si="18"/>
        <v>2.42</v>
      </c>
      <c r="G24" s="27">
        <v>0.2</v>
      </c>
      <c r="H24" s="28">
        <f t="shared" si="17"/>
        <v>0.200206825232678</v>
      </c>
      <c r="I24" s="28">
        <v>0.006</v>
      </c>
      <c r="J24" s="29">
        <v>0.2</v>
      </c>
      <c r="K24" s="30">
        <f t="shared" si="2"/>
        <v>9.67</v>
      </c>
      <c r="L24" s="30">
        <f t="shared" si="3"/>
        <v>16.6</v>
      </c>
      <c r="M24" s="30">
        <f t="shared" si="4"/>
        <v>9.67</v>
      </c>
      <c r="N24" s="31">
        <f t="shared" si="5"/>
        <v>16.12</v>
      </c>
      <c r="O24" s="31">
        <f t="shared" si="6"/>
        <v>24.34</v>
      </c>
      <c r="P24" s="32">
        <f t="shared" si="7"/>
        <v>16.12</v>
      </c>
      <c r="Q24" s="19">
        <f t="shared" si="8"/>
        <v>27.57</v>
      </c>
      <c r="R24" s="19">
        <f t="shared" si="9"/>
        <v>24.67</v>
      </c>
      <c r="S24" s="19">
        <f t="shared" si="10"/>
        <v>27.57</v>
      </c>
      <c r="T24" s="20">
        <f t="shared" si="11"/>
        <v>24.45</v>
      </c>
      <c r="U24" s="20">
        <f t="shared" si="12"/>
        <v>36</v>
      </c>
      <c r="V24" s="20">
        <f t="shared" si="13"/>
        <v>24.45</v>
      </c>
      <c r="W24" s="33">
        <f t="shared" si="14"/>
        <v>5.29452479338843</v>
      </c>
      <c r="X24" s="33">
        <f t="shared" si="19"/>
        <v>1.936</v>
      </c>
      <c r="Y24" s="33">
        <f t="shared" si="20"/>
        <v>3.14726239669421</v>
      </c>
    </row>
    <row r="25" s="3" customFormat="1" ht="14.25" customHeight="1" spans="1:25">
      <c r="A25" s="23"/>
      <c r="B25" s="24" t="s">
        <v>22</v>
      </c>
      <c r="C25" s="25">
        <f t="shared" si="0"/>
        <v>4.99</v>
      </c>
      <c r="D25" s="26">
        <v>3.74</v>
      </c>
      <c r="E25" s="25">
        <v>0</v>
      </c>
      <c r="F25" s="25">
        <f t="shared" si="18"/>
        <v>1.25</v>
      </c>
      <c r="G25" s="34">
        <v>0.2</v>
      </c>
      <c r="H25" s="28">
        <f t="shared" si="17"/>
        <v>0.200400801603206</v>
      </c>
      <c r="I25" s="28">
        <v>0.006</v>
      </c>
      <c r="J25" s="29">
        <v>0.2</v>
      </c>
      <c r="K25" s="30">
        <f t="shared" si="2"/>
        <v>4.99</v>
      </c>
      <c r="L25" s="30">
        <f t="shared" si="3"/>
        <v>10.99</v>
      </c>
      <c r="M25" s="30">
        <f t="shared" si="4"/>
        <v>4.99</v>
      </c>
      <c r="N25" s="31">
        <f t="shared" si="5"/>
        <v>8.32</v>
      </c>
      <c r="O25" s="31">
        <f t="shared" si="6"/>
        <v>14.98</v>
      </c>
      <c r="P25" s="32">
        <f t="shared" si="7"/>
        <v>8.32</v>
      </c>
      <c r="Q25" s="19">
        <f t="shared" si="8"/>
        <v>21.49</v>
      </c>
      <c r="R25" s="19">
        <f t="shared" si="9"/>
        <v>19.99</v>
      </c>
      <c r="S25" s="19">
        <f t="shared" si="10"/>
        <v>21.49</v>
      </c>
      <c r="T25" s="20">
        <f t="shared" si="11"/>
        <v>16.65</v>
      </c>
      <c r="U25" s="20">
        <f t="shared" si="12"/>
        <v>26.65</v>
      </c>
      <c r="V25" s="20">
        <f t="shared" si="13"/>
        <v>16.65</v>
      </c>
      <c r="W25" s="33">
        <f t="shared" si="14"/>
        <v>5.2894</v>
      </c>
      <c r="X25" s="33">
        <f t="shared" si="19"/>
        <v>1</v>
      </c>
      <c r="Y25" s="33">
        <f t="shared" si="20"/>
        <v>3.1447</v>
      </c>
    </row>
    <row r="26" s="3" customFormat="1" ht="14.25" customHeight="1" spans="1:25">
      <c r="A26" s="23"/>
      <c r="B26" s="24" t="s">
        <v>22</v>
      </c>
      <c r="C26" s="25">
        <f t="shared" si="0"/>
        <v>4.99</v>
      </c>
      <c r="D26" s="26">
        <v>3.74</v>
      </c>
      <c r="E26" s="25">
        <v>0</v>
      </c>
      <c r="F26" s="25">
        <f t="shared" si="18"/>
        <v>1.25</v>
      </c>
      <c r="G26" s="27">
        <v>0.2</v>
      </c>
      <c r="H26" s="28">
        <f t="shared" si="17"/>
        <v>0.200400801603206</v>
      </c>
      <c r="I26" s="28">
        <v>0.006</v>
      </c>
      <c r="J26" s="29">
        <v>0.2</v>
      </c>
      <c r="K26" s="30">
        <f t="shared" si="2"/>
        <v>4.99</v>
      </c>
      <c r="L26" s="30">
        <f t="shared" si="3"/>
        <v>10.99</v>
      </c>
      <c r="M26" s="30">
        <f t="shared" si="4"/>
        <v>4.99</v>
      </c>
      <c r="N26" s="31">
        <f t="shared" si="5"/>
        <v>8.32</v>
      </c>
      <c r="O26" s="31">
        <f t="shared" si="6"/>
        <v>14.98</v>
      </c>
      <c r="P26" s="32">
        <f t="shared" si="7"/>
        <v>8.32</v>
      </c>
      <c r="Q26" s="19">
        <f t="shared" si="8"/>
        <v>21.49</v>
      </c>
      <c r="R26" s="19">
        <f t="shared" si="9"/>
        <v>19.99</v>
      </c>
      <c r="S26" s="19">
        <f t="shared" si="10"/>
        <v>21.49</v>
      </c>
      <c r="T26" s="20">
        <f t="shared" si="11"/>
        <v>16.65</v>
      </c>
      <c r="U26" s="20">
        <f t="shared" si="12"/>
        <v>26.65</v>
      </c>
      <c r="V26" s="20">
        <f t="shared" si="13"/>
        <v>16.65</v>
      </c>
      <c r="W26" s="33">
        <f t="shared" si="14"/>
        <v>5.2894</v>
      </c>
      <c r="X26" s="33">
        <f t="shared" si="19"/>
        <v>1</v>
      </c>
      <c r="Y26" s="33">
        <f t="shared" si="20"/>
        <v>3.1447</v>
      </c>
    </row>
    <row r="27" s="3" customFormat="1" ht="14.25" customHeight="1" spans="1:25">
      <c r="A27" s="23"/>
      <c r="B27" s="24" t="s">
        <v>22</v>
      </c>
      <c r="C27" s="25">
        <f t="shared" si="0"/>
        <v>4.99</v>
      </c>
      <c r="D27" s="26">
        <v>3.74</v>
      </c>
      <c r="E27" s="25">
        <v>0</v>
      </c>
      <c r="F27" s="25">
        <f t="shared" si="18"/>
        <v>1.25</v>
      </c>
      <c r="G27" s="34">
        <v>0.2</v>
      </c>
      <c r="H27" s="28">
        <f t="shared" si="17"/>
        <v>0.200400801603206</v>
      </c>
      <c r="I27" s="28">
        <v>0.006</v>
      </c>
      <c r="J27" s="29">
        <v>0.2</v>
      </c>
      <c r="K27" s="30">
        <f t="shared" si="2"/>
        <v>4.99</v>
      </c>
      <c r="L27" s="30">
        <f t="shared" si="3"/>
        <v>10.99</v>
      </c>
      <c r="M27" s="30">
        <f t="shared" si="4"/>
        <v>4.99</v>
      </c>
      <c r="N27" s="31">
        <f t="shared" si="5"/>
        <v>8.32</v>
      </c>
      <c r="O27" s="31">
        <f t="shared" si="6"/>
        <v>14.98</v>
      </c>
      <c r="P27" s="32">
        <f t="shared" si="7"/>
        <v>8.32</v>
      </c>
      <c r="Q27" s="19">
        <f t="shared" si="8"/>
        <v>21.49</v>
      </c>
      <c r="R27" s="19">
        <f t="shared" si="9"/>
        <v>19.99</v>
      </c>
      <c r="S27" s="19">
        <f t="shared" si="10"/>
        <v>21.49</v>
      </c>
      <c r="T27" s="20">
        <f t="shared" si="11"/>
        <v>16.65</v>
      </c>
      <c r="U27" s="20">
        <f t="shared" si="12"/>
        <v>26.65</v>
      </c>
      <c r="V27" s="20">
        <f t="shared" si="13"/>
        <v>16.65</v>
      </c>
      <c r="W27" s="33">
        <f t="shared" si="14"/>
        <v>5.2894</v>
      </c>
      <c r="X27" s="33">
        <f t="shared" si="19"/>
        <v>1</v>
      </c>
      <c r="Y27" s="33">
        <f t="shared" si="20"/>
        <v>3.1447</v>
      </c>
    </row>
    <row r="28" s="3" customFormat="1" ht="14.25" customHeight="1" spans="1:25">
      <c r="A28" s="23"/>
      <c r="B28" s="24" t="s">
        <v>22</v>
      </c>
      <c r="C28" s="25">
        <f t="shared" si="0"/>
        <v>4.99</v>
      </c>
      <c r="D28" s="26">
        <v>3.74</v>
      </c>
      <c r="E28" s="25">
        <v>0</v>
      </c>
      <c r="F28" s="25">
        <f t="shared" si="18"/>
        <v>1.25</v>
      </c>
      <c r="G28" s="35">
        <v>0.2</v>
      </c>
      <c r="H28" s="28">
        <f t="shared" si="17"/>
        <v>0.200400801603206</v>
      </c>
      <c r="I28" s="28">
        <v>0.006</v>
      </c>
      <c r="J28" s="29">
        <v>0.2</v>
      </c>
      <c r="K28" s="30">
        <f t="shared" si="2"/>
        <v>4.99</v>
      </c>
      <c r="L28" s="30">
        <f t="shared" si="3"/>
        <v>10.99</v>
      </c>
      <c r="M28" s="30">
        <f t="shared" si="4"/>
        <v>4.99</v>
      </c>
      <c r="N28" s="31">
        <f t="shared" si="5"/>
        <v>8.32</v>
      </c>
      <c r="O28" s="31">
        <f t="shared" si="6"/>
        <v>14.98</v>
      </c>
      <c r="P28" s="32">
        <f t="shared" si="7"/>
        <v>8.32</v>
      </c>
      <c r="Q28" s="19">
        <f t="shared" si="8"/>
        <v>21.49</v>
      </c>
      <c r="R28" s="19">
        <f t="shared" si="9"/>
        <v>19.99</v>
      </c>
      <c r="S28" s="19">
        <f t="shared" si="10"/>
        <v>21.49</v>
      </c>
      <c r="T28" s="20">
        <f t="shared" si="11"/>
        <v>16.65</v>
      </c>
      <c r="U28" s="20">
        <f t="shared" si="12"/>
        <v>26.65</v>
      </c>
      <c r="V28" s="20">
        <f t="shared" si="13"/>
        <v>16.65</v>
      </c>
      <c r="W28" s="33">
        <f t="shared" si="14"/>
        <v>5.2894</v>
      </c>
      <c r="X28" s="33">
        <f t="shared" si="19"/>
        <v>1</v>
      </c>
      <c r="Y28" s="33">
        <f t="shared" si="20"/>
        <v>3.1447</v>
      </c>
    </row>
    <row r="29" s="3" customFormat="1" ht="14.25" customHeight="1" spans="1:25">
      <c r="A29" s="23"/>
      <c r="B29" s="24" t="s">
        <v>22</v>
      </c>
      <c r="C29" s="25">
        <f t="shared" si="0"/>
        <v>4.99</v>
      </c>
      <c r="D29" s="26">
        <v>3.74</v>
      </c>
      <c r="E29" s="25">
        <v>0</v>
      </c>
      <c r="F29" s="25">
        <f t="shared" si="18"/>
        <v>1.25</v>
      </c>
      <c r="G29" s="27">
        <v>0.2</v>
      </c>
      <c r="H29" s="28">
        <f t="shared" si="17"/>
        <v>0.200400801603206</v>
      </c>
      <c r="I29" s="28">
        <v>0.006</v>
      </c>
      <c r="J29" s="29">
        <v>0.2</v>
      </c>
      <c r="K29" s="30">
        <f t="shared" si="2"/>
        <v>4.99</v>
      </c>
      <c r="L29" s="30">
        <f t="shared" si="3"/>
        <v>10.99</v>
      </c>
      <c r="M29" s="30">
        <f t="shared" si="4"/>
        <v>4.99</v>
      </c>
      <c r="N29" s="31">
        <f t="shared" si="5"/>
        <v>8.32</v>
      </c>
      <c r="O29" s="31">
        <f t="shared" si="6"/>
        <v>14.98</v>
      </c>
      <c r="P29" s="32">
        <f t="shared" si="7"/>
        <v>8.32</v>
      </c>
      <c r="Q29" s="19">
        <f t="shared" si="8"/>
        <v>21.49</v>
      </c>
      <c r="R29" s="19">
        <f t="shared" si="9"/>
        <v>19.99</v>
      </c>
      <c r="S29" s="19">
        <f t="shared" si="10"/>
        <v>21.49</v>
      </c>
      <c r="T29" s="20">
        <f t="shared" si="11"/>
        <v>16.65</v>
      </c>
      <c r="U29" s="20">
        <f t="shared" si="12"/>
        <v>26.65</v>
      </c>
      <c r="V29" s="20">
        <f t="shared" si="13"/>
        <v>16.65</v>
      </c>
      <c r="W29" s="33">
        <f t="shared" si="14"/>
        <v>5.2894</v>
      </c>
      <c r="X29" s="33">
        <f t="shared" si="19"/>
        <v>1</v>
      </c>
      <c r="Y29" s="33">
        <f t="shared" si="20"/>
        <v>3.1447</v>
      </c>
    </row>
    <row r="30" s="3" customFormat="1" ht="14.25" customHeight="1" spans="1:25">
      <c r="A30" s="23"/>
      <c r="B30" s="24" t="s">
        <v>22</v>
      </c>
      <c r="C30" s="25">
        <f t="shared" si="0"/>
        <v>16.99</v>
      </c>
      <c r="D30" s="26">
        <v>12.7388888888889</v>
      </c>
      <c r="E30" s="25">
        <v>0</v>
      </c>
      <c r="F30" s="25">
        <f t="shared" si="18"/>
        <v>4.2511111111111</v>
      </c>
      <c r="G30" s="35">
        <v>0.2</v>
      </c>
      <c r="H30" s="28">
        <f t="shared" si="17"/>
        <v>0.200170034660911</v>
      </c>
      <c r="I30" s="28">
        <v>0.006</v>
      </c>
      <c r="J30" s="29">
        <v>0.2</v>
      </c>
      <c r="K30" s="30">
        <f t="shared" si="2"/>
        <v>16.99</v>
      </c>
      <c r="L30" s="30">
        <f t="shared" si="3"/>
        <v>25.39</v>
      </c>
      <c r="M30" s="30">
        <f t="shared" si="4"/>
        <v>16.99</v>
      </c>
      <c r="N30" s="31">
        <f t="shared" si="5"/>
        <v>28.32</v>
      </c>
      <c r="O30" s="31">
        <f t="shared" si="6"/>
        <v>38.98</v>
      </c>
      <c r="P30" s="32">
        <f t="shared" si="7"/>
        <v>28.32</v>
      </c>
      <c r="Q30" s="19">
        <f t="shared" si="8"/>
        <v>37.09</v>
      </c>
      <c r="R30" s="19">
        <f t="shared" si="9"/>
        <v>31.99</v>
      </c>
      <c r="S30" s="19">
        <f t="shared" si="10"/>
        <v>37.09</v>
      </c>
      <c r="T30" s="20">
        <f t="shared" si="11"/>
        <v>36.65</v>
      </c>
      <c r="U30" s="20">
        <f t="shared" si="12"/>
        <v>50.65</v>
      </c>
      <c r="V30" s="20">
        <f t="shared" si="13"/>
        <v>36.65</v>
      </c>
      <c r="W30" s="33">
        <f t="shared" si="14"/>
        <v>5.2954979090434</v>
      </c>
      <c r="X30" s="33">
        <f t="shared" si="19"/>
        <v>3.40088888888888</v>
      </c>
      <c r="Y30" s="33">
        <f t="shared" si="20"/>
        <v>3.1477489545217</v>
      </c>
    </row>
    <row r="31" s="3" customFormat="1" ht="14.25" customHeight="1" spans="1:25">
      <c r="A31" s="23"/>
      <c r="B31" s="24" t="s">
        <v>22</v>
      </c>
      <c r="C31" s="25">
        <f t="shared" si="0"/>
        <v>17.41</v>
      </c>
      <c r="D31" s="26">
        <v>13.0555555555556</v>
      </c>
      <c r="E31" s="25">
        <v>0</v>
      </c>
      <c r="F31" s="25">
        <f t="shared" si="18"/>
        <v>4.3544444444444</v>
      </c>
      <c r="G31" s="35">
        <v>0.2</v>
      </c>
      <c r="H31" s="28">
        <f t="shared" si="17"/>
        <v>0.200089348394918</v>
      </c>
      <c r="I31" s="28">
        <v>0.006</v>
      </c>
      <c r="J31" s="29">
        <v>0.2</v>
      </c>
      <c r="K31" s="30">
        <f t="shared" si="2"/>
        <v>17.41</v>
      </c>
      <c r="L31" s="30">
        <f t="shared" si="3"/>
        <v>25.89</v>
      </c>
      <c r="M31" s="30">
        <f t="shared" si="4"/>
        <v>17.41</v>
      </c>
      <c r="N31" s="31">
        <f t="shared" si="5"/>
        <v>29.02</v>
      </c>
      <c r="O31" s="31">
        <f t="shared" si="6"/>
        <v>39.82</v>
      </c>
      <c r="P31" s="32">
        <f t="shared" si="7"/>
        <v>29.02</v>
      </c>
      <c r="Q31" s="19">
        <f t="shared" si="8"/>
        <v>37.63</v>
      </c>
      <c r="R31" s="19">
        <f t="shared" si="9"/>
        <v>32.41</v>
      </c>
      <c r="S31" s="19">
        <f t="shared" si="10"/>
        <v>37.63</v>
      </c>
      <c r="T31" s="20">
        <f t="shared" si="11"/>
        <v>37.35</v>
      </c>
      <c r="U31" s="20">
        <f t="shared" si="12"/>
        <v>51.48</v>
      </c>
      <c r="V31" s="20">
        <f t="shared" si="13"/>
        <v>37.35</v>
      </c>
      <c r="W31" s="33">
        <f t="shared" si="14"/>
        <v>5.29763332482782</v>
      </c>
      <c r="X31" s="33">
        <f t="shared" si="19"/>
        <v>3.48355555555552</v>
      </c>
      <c r="Y31" s="33">
        <f t="shared" si="20"/>
        <v>3.14881666241391</v>
      </c>
    </row>
    <row r="32" s="3" customFormat="1" ht="14.25" customHeight="1" spans="1:25">
      <c r="A32" s="23"/>
      <c r="B32" s="24" t="s">
        <v>22</v>
      </c>
      <c r="C32" s="25">
        <f t="shared" si="0"/>
        <v>0</v>
      </c>
      <c r="D32" s="26"/>
      <c r="E32" s="25">
        <v>0</v>
      </c>
      <c r="F32" s="25">
        <f t="shared" si="18"/>
        <v>0</v>
      </c>
      <c r="G32" s="35">
        <v>0.2</v>
      </c>
      <c r="H32" s="28" t="e">
        <f t="shared" si="17"/>
        <v>#DIV/0!</v>
      </c>
      <c r="I32" s="28">
        <v>0.006</v>
      </c>
      <c r="J32" s="29">
        <v>0.2</v>
      </c>
      <c r="K32" s="30">
        <f t="shared" si="2"/>
        <v>0</v>
      </c>
      <c r="L32" s="30">
        <f t="shared" si="3"/>
        <v>0</v>
      </c>
      <c r="M32" s="30">
        <f t="shared" si="4"/>
        <v>0</v>
      </c>
      <c r="N32" s="31">
        <f t="shared" si="5"/>
        <v>0</v>
      </c>
      <c r="O32" s="31">
        <f t="shared" si="6"/>
        <v>0</v>
      </c>
      <c r="P32" s="32">
        <f t="shared" si="7"/>
        <v>0</v>
      </c>
      <c r="Q32" s="19">
        <f t="shared" si="8"/>
        <v>0</v>
      </c>
      <c r="R32" s="19">
        <f t="shared" si="9"/>
        <v>0</v>
      </c>
      <c r="S32" s="19">
        <f t="shared" si="10"/>
        <v>0</v>
      </c>
      <c r="T32" s="20">
        <f t="shared" si="11"/>
        <v>0</v>
      </c>
      <c r="U32" s="20">
        <f t="shared" si="12"/>
        <v>0</v>
      </c>
      <c r="V32" s="20">
        <f t="shared" si="13"/>
        <v>0</v>
      </c>
      <c r="W32" s="33" t="e">
        <f t="shared" si="14"/>
        <v>#DIV/0!</v>
      </c>
      <c r="X32" s="33">
        <f t="shared" si="19"/>
        <v>0</v>
      </c>
      <c r="Y32" s="33" t="e">
        <f t="shared" si="20"/>
        <v>#DIV/0!</v>
      </c>
    </row>
    <row r="33" s="3" customFormat="1" ht="14.25" customHeight="1" spans="1:25">
      <c r="A33" s="23"/>
      <c r="B33" s="24" t="s">
        <v>22</v>
      </c>
      <c r="C33" s="25">
        <f t="shared" si="0"/>
        <v>18.25</v>
      </c>
      <c r="D33" s="26">
        <v>13.6888888888889</v>
      </c>
      <c r="E33" s="25">
        <v>0</v>
      </c>
      <c r="F33" s="25">
        <f t="shared" si="18"/>
        <v>4.5611111111111</v>
      </c>
      <c r="G33" s="27">
        <v>0.2</v>
      </c>
      <c r="H33" s="28">
        <f t="shared" si="17"/>
        <v>0.199939117199391</v>
      </c>
      <c r="I33" s="28">
        <v>0.006</v>
      </c>
      <c r="J33" s="29">
        <v>0.2</v>
      </c>
      <c r="K33" s="30">
        <f t="shared" si="2"/>
        <v>18.25</v>
      </c>
      <c r="L33" s="30">
        <f t="shared" si="3"/>
        <v>26.9</v>
      </c>
      <c r="M33" s="30">
        <f t="shared" si="4"/>
        <v>18.25</v>
      </c>
      <c r="N33" s="31">
        <f t="shared" si="5"/>
        <v>30.42</v>
      </c>
      <c r="O33" s="31">
        <f t="shared" si="6"/>
        <v>41.5</v>
      </c>
      <c r="P33" s="32">
        <f t="shared" si="7"/>
        <v>30.42</v>
      </c>
      <c r="Q33" s="19">
        <f t="shared" si="8"/>
        <v>38.73</v>
      </c>
      <c r="R33" s="19">
        <f t="shared" si="9"/>
        <v>33.25</v>
      </c>
      <c r="S33" s="19">
        <f t="shared" si="10"/>
        <v>38.73</v>
      </c>
      <c r="T33" s="20">
        <f t="shared" si="11"/>
        <v>38.75</v>
      </c>
      <c r="U33" s="20">
        <f t="shared" si="12"/>
        <v>53.17</v>
      </c>
      <c r="V33" s="20">
        <f t="shared" si="13"/>
        <v>38.75</v>
      </c>
      <c r="W33" s="33">
        <f t="shared" si="14"/>
        <v>5.30161388550549</v>
      </c>
      <c r="X33" s="33">
        <f t="shared" si="19"/>
        <v>3.64888888888888</v>
      </c>
      <c r="Y33" s="33">
        <f t="shared" si="20"/>
        <v>3.15080694275275</v>
      </c>
    </row>
    <row r="34" s="3" customFormat="1" ht="14.25" customHeight="1" spans="1:25">
      <c r="A34" s="23"/>
      <c r="B34" s="24" t="s">
        <v>22</v>
      </c>
      <c r="C34" s="25">
        <f t="shared" si="0"/>
        <v>18.67</v>
      </c>
      <c r="D34" s="26">
        <v>14.0055555555556</v>
      </c>
      <c r="E34" s="25">
        <v>0</v>
      </c>
      <c r="F34" s="25">
        <f t="shared" si="18"/>
        <v>4.6644444444444</v>
      </c>
      <c r="G34" s="27">
        <v>0.2</v>
      </c>
      <c r="H34" s="28">
        <f t="shared" si="17"/>
        <v>0.199869070999224</v>
      </c>
      <c r="I34" s="28">
        <v>0.006</v>
      </c>
      <c r="J34" s="29">
        <v>0.2</v>
      </c>
      <c r="K34" s="30">
        <f t="shared" si="2"/>
        <v>18.67</v>
      </c>
      <c r="L34" s="30">
        <f t="shared" si="3"/>
        <v>27.4</v>
      </c>
      <c r="M34" s="30">
        <f t="shared" si="4"/>
        <v>18.67</v>
      </c>
      <c r="N34" s="31">
        <f t="shared" si="5"/>
        <v>31.12</v>
      </c>
      <c r="O34" s="31">
        <f t="shared" si="6"/>
        <v>42.34</v>
      </c>
      <c r="P34" s="32">
        <f t="shared" si="7"/>
        <v>31.12</v>
      </c>
      <c r="Q34" s="19">
        <f t="shared" si="8"/>
        <v>39.27</v>
      </c>
      <c r="R34" s="19">
        <f t="shared" si="9"/>
        <v>33.67</v>
      </c>
      <c r="S34" s="19">
        <f t="shared" si="10"/>
        <v>39.27</v>
      </c>
      <c r="T34" s="20">
        <f t="shared" si="11"/>
        <v>39.45</v>
      </c>
      <c r="U34" s="20">
        <f t="shared" si="12"/>
        <v>54</v>
      </c>
      <c r="V34" s="20">
        <f t="shared" si="13"/>
        <v>39.45</v>
      </c>
      <c r="W34" s="33">
        <f t="shared" si="14"/>
        <v>5.3034718913769</v>
      </c>
      <c r="X34" s="33">
        <f t="shared" si="19"/>
        <v>3.73155555555552</v>
      </c>
      <c r="Y34" s="33">
        <f t="shared" si="20"/>
        <v>3.15173594568845</v>
      </c>
    </row>
    <row r="35" s="3" customFormat="1" ht="14.25" customHeight="1" spans="1:25">
      <c r="A35" s="23"/>
      <c r="B35" s="24" t="s">
        <v>22</v>
      </c>
      <c r="C35" s="25">
        <f t="shared" si="0"/>
        <v>19.1</v>
      </c>
      <c r="D35" s="26">
        <v>14.3222222222222</v>
      </c>
      <c r="E35" s="25">
        <v>0</v>
      </c>
      <c r="F35" s="25">
        <f t="shared" si="18"/>
        <v>4.7777777777778</v>
      </c>
      <c r="G35" s="34">
        <v>0.2</v>
      </c>
      <c r="H35" s="28">
        <f t="shared" si="17"/>
        <v>0.200116346713206</v>
      </c>
      <c r="I35" s="28">
        <v>0.006</v>
      </c>
      <c r="J35" s="29">
        <v>0.2</v>
      </c>
      <c r="K35" s="30">
        <f t="shared" si="2"/>
        <v>19.1</v>
      </c>
      <c r="L35" s="30">
        <f t="shared" si="3"/>
        <v>27.92</v>
      </c>
      <c r="M35" s="30">
        <f t="shared" si="4"/>
        <v>19.1</v>
      </c>
      <c r="N35" s="31">
        <f t="shared" si="5"/>
        <v>31.83</v>
      </c>
      <c r="O35" s="31">
        <f t="shared" si="6"/>
        <v>43.2</v>
      </c>
      <c r="P35" s="32">
        <f t="shared" si="7"/>
        <v>31.83</v>
      </c>
      <c r="Q35" s="19">
        <f t="shared" si="8"/>
        <v>39.83</v>
      </c>
      <c r="R35" s="19">
        <f t="shared" si="9"/>
        <v>34.1</v>
      </c>
      <c r="S35" s="19">
        <f t="shared" si="10"/>
        <v>39.83</v>
      </c>
      <c r="T35" s="20">
        <f t="shared" si="11"/>
        <v>40.17</v>
      </c>
      <c r="U35" s="20">
        <f t="shared" si="12"/>
        <v>54.87</v>
      </c>
      <c r="V35" s="20">
        <f t="shared" si="13"/>
        <v>40.17</v>
      </c>
      <c r="W35" s="33">
        <f t="shared" si="14"/>
        <v>5.29691860465114</v>
      </c>
      <c r="X35" s="33">
        <f t="shared" si="19"/>
        <v>3.82222222222224</v>
      </c>
      <c r="Y35" s="33">
        <f t="shared" si="20"/>
        <v>3.14845930232557</v>
      </c>
    </row>
    <row r="36" s="3" customFormat="1" ht="14.25" customHeight="1" spans="1:25">
      <c r="A36" s="23"/>
      <c r="B36" s="24" t="s">
        <v>22</v>
      </c>
      <c r="C36" s="25">
        <f t="shared" si="0"/>
        <v>19.52</v>
      </c>
      <c r="D36" s="26">
        <v>14.6388888888889</v>
      </c>
      <c r="E36" s="25">
        <v>0</v>
      </c>
      <c r="F36" s="25">
        <f t="shared" si="18"/>
        <v>4.8811111111111</v>
      </c>
      <c r="G36" s="27">
        <v>0.2</v>
      </c>
      <c r="H36" s="28">
        <f t="shared" si="17"/>
        <v>0.200045537340619</v>
      </c>
      <c r="I36" s="28">
        <v>0.006</v>
      </c>
      <c r="J36" s="29">
        <v>0.2</v>
      </c>
      <c r="K36" s="30">
        <f t="shared" si="2"/>
        <v>19.52</v>
      </c>
      <c r="L36" s="30">
        <f t="shared" si="3"/>
        <v>28.42</v>
      </c>
      <c r="M36" s="30">
        <f t="shared" si="4"/>
        <v>19.52</v>
      </c>
      <c r="N36" s="31">
        <f t="shared" si="5"/>
        <v>32.53</v>
      </c>
      <c r="O36" s="31">
        <f t="shared" si="6"/>
        <v>44.04</v>
      </c>
      <c r="P36" s="32">
        <f t="shared" si="7"/>
        <v>32.53</v>
      </c>
      <c r="Q36" s="19">
        <f t="shared" si="8"/>
        <v>40.38</v>
      </c>
      <c r="R36" s="19">
        <f t="shared" si="9"/>
        <v>34.52</v>
      </c>
      <c r="S36" s="19">
        <f t="shared" si="10"/>
        <v>40.38</v>
      </c>
      <c r="T36" s="20">
        <f t="shared" si="11"/>
        <v>40.87</v>
      </c>
      <c r="U36" s="20">
        <f t="shared" si="12"/>
        <v>55.7</v>
      </c>
      <c r="V36" s="20">
        <f t="shared" si="13"/>
        <v>40.87</v>
      </c>
      <c r="W36" s="33">
        <f t="shared" si="14"/>
        <v>5.2987935351696</v>
      </c>
      <c r="X36" s="33">
        <f t="shared" si="19"/>
        <v>3.90488888888888</v>
      </c>
      <c r="Y36" s="33">
        <f t="shared" si="20"/>
        <v>3.1493967675848</v>
      </c>
    </row>
    <row r="37" s="3" customFormat="1" ht="14.25" customHeight="1" spans="1:25">
      <c r="A37" s="23"/>
      <c r="B37" s="24" t="s">
        <v>22</v>
      </c>
      <c r="C37" s="25">
        <f t="shared" si="0"/>
        <v>19.94</v>
      </c>
      <c r="D37" s="26">
        <v>14.9555555555556</v>
      </c>
      <c r="E37" s="25">
        <v>0</v>
      </c>
      <c r="F37" s="25">
        <f t="shared" si="18"/>
        <v>4.9844444444444</v>
      </c>
      <c r="G37" s="34">
        <v>0.2</v>
      </c>
      <c r="H37" s="28">
        <f t="shared" si="17"/>
        <v>0.199977710910508</v>
      </c>
      <c r="I37" s="28">
        <v>0.006</v>
      </c>
      <c r="J37" s="29">
        <v>0.2</v>
      </c>
      <c r="K37" s="30">
        <f t="shared" si="2"/>
        <v>19.94</v>
      </c>
      <c r="L37" s="30">
        <f t="shared" si="3"/>
        <v>28.93</v>
      </c>
      <c r="M37" s="30">
        <f t="shared" si="4"/>
        <v>19.94</v>
      </c>
      <c r="N37" s="31">
        <f t="shared" si="5"/>
        <v>33.23</v>
      </c>
      <c r="O37" s="31">
        <f t="shared" si="6"/>
        <v>44.88</v>
      </c>
      <c r="P37" s="32">
        <f t="shared" si="7"/>
        <v>33.23</v>
      </c>
      <c r="Q37" s="19">
        <f t="shared" si="8"/>
        <v>40.92</v>
      </c>
      <c r="R37" s="19">
        <f t="shared" si="9"/>
        <v>34.94</v>
      </c>
      <c r="S37" s="19">
        <f t="shared" si="10"/>
        <v>40.92</v>
      </c>
      <c r="T37" s="20">
        <f t="shared" si="11"/>
        <v>41.57</v>
      </c>
      <c r="U37" s="20">
        <f t="shared" si="12"/>
        <v>56.55</v>
      </c>
      <c r="V37" s="20">
        <f t="shared" si="13"/>
        <v>41.57</v>
      </c>
      <c r="W37" s="33">
        <f t="shared" si="14"/>
        <v>5.30059072670535</v>
      </c>
      <c r="X37" s="33">
        <f t="shared" si="19"/>
        <v>3.98755555555552</v>
      </c>
      <c r="Y37" s="33">
        <f t="shared" si="20"/>
        <v>3.15029536335268</v>
      </c>
    </row>
    <row r="38" s="3" customFormat="1" ht="14.25" customHeight="1" spans="1:25">
      <c r="A38" s="23"/>
      <c r="B38" s="24" t="s">
        <v>22</v>
      </c>
      <c r="C38" s="25">
        <f t="shared" si="0"/>
        <v>20.36</v>
      </c>
      <c r="D38" s="26">
        <v>15.2722222222222</v>
      </c>
      <c r="E38" s="25">
        <v>0</v>
      </c>
      <c r="F38" s="25">
        <f t="shared" si="18"/>
        <v>5.0877777777778</v>
      </c>
      <c r="G38" s="35">
        <v>0.2</v>
      </c>
      <c r="H38" s="28">
        <f t="shared" si="17"/>
        <v>0.199912682820346</v>
      </c>
      <c r="I38" s="28">
        <v>0.006</v>
      </c>
      <c r="J38" s="29">
        <v>0.2</v>
      </c>
      <c r="K38" s="30">
        <f t="shared" si="2"/>
        <v>20.36</v>
      </c>
      <c r="L38" s="30">
        <f t="shared" si="3"/>
        <v>29.43</v>
      </c>
      <c r="M38" s="30">
        <f t="shared" si="4"/>
        <v>20.36</v>
      </c>
      <c r="N38" s="31">
        <f t="shared" si="5"/>
        <v>33.93</v>
      </c>
      <c r="O38" s="31">
        <f t="shared" si="6"/>
        <v>45.72</v>
      </c>
      <c r="P38" s="32">
        <f t="shared" si="7"/>
        <v>33.93</v>
      </c>
      <c r="Q38" s="19">
        <f t="shared" si="8"/>
        <v>41.47</v>
      </c>
      <c r="R38" s="19">
        <f t="shared" si="9"/>
        <v>35.36</v>
      </c>
      <c r="S38" s="19">
        <f t="shared" si="10"/>
        <v>41.47</v>
      </c>
      <c r="T38" s="20">
        <f t="shared" si="11"/>
        <v>42.27</v>
      </c>
      <c r="U38" s="20">
        <f t="shared" si="12"/>
        <v>57.38</v>
      </c>
      <c r="V38" s="20">
        <f t="shared" si="13"/>
        <v>42.27</v>
      </c>
      <c r="W38" s="33">
        <f t="shared" si="14"/>
        <v>5.30231491592048</v>
      </c>
      <c r="X38" s="33">
        <f t="shared" si="19"/>
        <v>4.07022222222224</v>
      </c>
      <c r="Y38" s="33">
        <f t="shared" si="20"/>
        <v>3.15115745796024</v>
      </c>
    </row>
    <row r="39" s="3" customFormat="1" ht="14.25" customHeight="1" spans="1:25">
      <c r="A39" s="23"/>
      <c r="B39" s="24" t="s">
        <v>22</v>
      </c>
      <c r="C39" s="25">
        <f t="shared" si="0"/>
        <v>20.79</v>
      </c>
      <c r="D39" s="26">
        <v>15.5888888888889</v>
      </c>
      <c r="E39" s="25">
        <v>0</v>
      </c>
      <c r="F39" s="25">
        <f t="shared" si="18"/>
        <v>5.2011111111111</v>
      </c>
      <c r="G39" s="27">
        <v>0.2</v>
      </c>
      <c r="H39" s="28">
        <f t="shared" si="17"/>
        <v>0.200138955694511</v>
      </c>
      <c r="I39" s="28">
        <v>0.006</v>
      </c>
      <c r="J39" s="29">
        <v>0.2</v>
      </c>
      <c r="K39" s="30">
        <f t="shared" si="2"/>
        <v>20.79</v>
      </c>
      <c r="L39" s="30">
        <f t="shared" si="3"/>
        <v>29.95</v>
      </c>
      <c r="M39" s="30">
        <f t="shared" si="4"/>
        <v>20.79</v>
      </c>
      <c r="N39" s="31">
        <f t="shared" si="5"/>
        <v>34.65</v>
      </c>
      <c r="O39" s="31">
        <f t="shared" si="6"/>
        <v>46.58</v>
      </c>
      <c r="P39" s="32">
        <f t="shared" si="7"/>
        <v>34.65</v>
      </c>
      <c r="Q39" s="19">
        <f t="shared" si="8"/>
        <v>42.03</v>
      </c>
      <c r="R39" s="19">
        <f t="shared" si="9"/>
        <v>35.79</v>
      </c>
      <c r="S39" s="19">
        <f t="shared" si="10"/>
        <v>42.03</v>
      </c>
      <c r="T39" s="20">
        <f t="shared" si="11"/>
        <v>42.98</v>
      </c>
      <c r="U39" s="20">
        <f t="shared" si="12"/>
        <v>58.25</v>
      </c>
      <c r="V39" s="20">
        <f t="shared" si="13"/>
        <v>42.98</v>
      </c>
      <c r="W39" s="33">
        <f t="shared" si="14"/>
        <v>5.29632023071994</v>
      </c>
      <c r="X39" s="33">
        <f t="shared" si="19"/>
        <v>4.16088888888888</v>
      </c>
      <c r="Y39" s="33">
        <f t="shared" si="20"/>
        <v>3.14816011535997</v>
      </c>
    </row>
    <row r="40" s="3" customFormat="1" ht="14.25" customHeight="1" spans="1:25">
      <c r="A40" s="23"/>
      <c r="B40" s="24" t="s">
        <v>22</v>
      </c>
      <c r="C40" s="25">
        <f t="shared" si="0"/>
        <v>21.21</v>
      </c>
      <c r="D40" s="26">
        <v>15.9055555555556</v>
      </c>
      <c r="E40" s="25">
        <v>0</v>
      </c>
      <c r="F40" s="25">
        <f t="shared" si="18"/>
        <v>5.3044444444444</v>
      </c>
      <c r="G40" s="35">
        <v>0.2</v>
      </c>
      <c r="H40" s="28">
        <f t="shared" si="17"/>
        <v>0.200073340667398</v>
      </c>
      <c r="I40" s="28">
        <v>0.006</v>
      </c>
      <c r="J40" s="29">
        <v>0.2</v>
      </c>
      <c r="K40" s="30">
        <f t="shared" si="2"/>
        <v>21.21</v>
      </c>
      <c r="L40" s="30">
        <f t="shared" si="3"/>
        <v>30.45</v>
      </c>
      <c r="M40" s="30">
        <f t="shared" si="4"/>
        <v>21.21</v>
      </c>
      <c r="N40" s="31">
        <f t="shared" si="5"/>
        <v>35.35</v>
      </c>
      <c r="O40" s="31">
        <f t="shared" si="6"/>
        <v>47.42</v>
      </c>
      <c r="P40" s="32">
        <f t="shared" si="7"/>
        <v>35.35</v>
      </c>
      <c r="Q40" s="19">
        <f t="shared" si="8"/>
        <v>42.57</v>
      </c>
      <c r="R40" s="19">
        <f t="shared" si="9"/>
        <v>36.21</v>
      </c>
      <c r="S40" s="19">
        <f t="shared" si="10"/>
        <v>42.57</v>
      </c>
      <c r="T40" s="20">
        <f t="shared" si="11"/>
        <v>43.68</v>
      </c>
      <c r="U40" s="20">
        <f t="shared" si="12"/>
        <v>59.08</v>
      </c>
      <c r="V40" s="20">
        <f t="shared" si="13"/>
        <v>43.68</v>
      </c>
      <c r="W40" s="33">
        <f t="shared" si="14"/>
        <v>5.29805718475078</v>
      </c>
      <c r="X40" s="33">
        <f t="shared" si="19"/>
        <v>4.24355555555552</v>
      </c>
      <c r="Y40" s="33">
        <f t="shared" si="20"/>
        <v>3.14902859237539</v>
      </c>
    </row>
    <row r="41" s="3" customFormat="1" ht="14.25" customHeight="1" spans="1:25">
      <c r="A41" s="23"/>
      <c r="B41" s="24" t="s">
        <v>22</v>
      </c>
      <c r="C41" s="25">
        <f t="shared" si="0"/>
        <v>21.63</v>
      </c>
      <c r="D41" s="26">
        <v>16.2222222222222</v>
      </c>
      <c r="E41" s="25">
        <v>0</v>
      </c>
      <c r="F41" s="25">
        <f t="shared" si="18"/>
        <v>5.4077777777778</v>
      </c>
      <c r="G41" s="35">
        <v>0.2</v>
      </c>
      <c r="H41" s="28">
        <f t="shared" si="17"/>
        <v>0.200010273796682</v>
      </c>
      <c r="I41" s="28">
        <v>0.006</v>
      </c>
      <c r="J41" s="29">
        <v>0.2</v>
      </c>
      <c r="K41" s="30">
        <f t="shared" si="2"/>
        <v>21.63</v>
      </c>
      <c r="L41" s="30">
        <f t="shared" si="3"/>
        <v>30.96</v>
      </c>
      <c r="M41" s="30">
        <f t="shared" si="4"/>
        <v>21.63</v>
      </c>
      <c r="N41" s="31">
        <f t="shared" si="5"/>
        <v>36.05</v>
      </c>
      <c r="O41" s="31">
        <f t="shared" si="6"/>
        <v>48.26</v>
      </c>
      <c r="P41" s="32">
        <f t="shared" si="7"/>
        <v>36.05</v>
      </c>
      <c r="Q41" s="19">
        <f t="shared" si="8"/>
        <v>43.12</v>
      </c>
      <c r="R41" s="19">
        <f t="shared" si="9"/>
        <v>36.63</v>
      </c>
      <c r="S41" s="19">
        <f t="shared" si="10"/>
        <v>43.12</v>
      </c>
      <c r="T41" s="20">
        <f t="shared" si="11"/>
        <v>44.38</v>
      </c>
      <c r="U41" s="20">
        <f t="shared" si="12"/>
        <v>59.93</v>
      </c>
      <c r="V41" s="20">
        <f t="shared" si="13"/>
        <v>44.38</v>
      </c>
      <c r="W41" s="33">
        <f t="shared" si="14"/>
        <v>5.29972775837269</v>
      </c>
      <c r="X41" s="33">
        <f t="shared" si="19"/>
        <v>4.32622222222224</v>
      </c>
      <c r="Y41" s="33">
        <f t="shared" si="20"/>
        <v>3.14986387918635</v>
      </c>
    </row>
    <row r="42" s="3" customFormat="1" ht="14.25" customHeight="1" spans="1:25">
      <c r="A42" s="23"/>
      <c r="B42" s="24" t="s">
        <v>22</v>
      </c>
      <c r="C42" s="25">
        <f t="shared" si="0"/>
        <v>0</v>
      </c>
      <c r="D42" s="26"/>
      <c r="E42" s="25">
        <v>0</v>
      </c>
      <c r="F42" s="25">
        <f t="shared" si="18"/>
        <v>0</v>
      </c>
      <c r="G42" s="35">
        <v>0.2</v>
      </c>
      <c r="H42" s="28" t="e">
        <f t="shared" si="17"/>
        <v>#DIV/0!</v>
      </c>
      <c r="I42" s="28">
        <v>0.006</v>
      </c>
      <c r="J42" s="29">
        <v>0.2</v>
      </c>
      <c r="K42" s="30">
        <f t="shared" si="2"/>
        <v>0</v>
      </c>
      <c r="L42" s="30">
        <f t="shared" si="3"/>
        <v>0</v>
      </c>
      <c r="M42" s="30">
        <f t="shared" si="4"/>
        <v>0</v>
      </c>
      <c r="N42" s="31">
        <f t="shared" si="5"/>
        <v>0</v>
      </c>
      <c r="O42" s="31">
        <f t="shared" si="6"/>
        <v>0</v>
      </c>
      <c r="P42" s="32">
        <f t="shared" si="7"/>
        <v>0</v>
      </c>
      <c r="Q42" s="19">
        <f t="shared" si="8"/>
        <v>0</v>
      </c>
      <c r="R42" s="19">
        <f t="shared" si="9"/>
        <v>0</v>
      </c>
      <c r="S42" s="19">
        <f t="shared" si="10"/>
        <v>0</v>
      </c>
      <c r="T42" s="20">
        <f t="shared" si="11"/>
        <v>0</v>
      </c>
      <c r="U42" s="20">
        <f t="shared" si="12"/>
        <v>0</v>
      </c>
      <c r="V42" s="20">
        <f t="shared" si="13"/>
        <v>0</v>
      </c>
      <c r="W42" s="33" t="e">
        <f t="shared" si="14"/>
        <v>#DIV/0!</v>
      </c>
      <c r="X42" s="33">
        <f t="shared" si="19"/>
        <v>0</v>
      </c>
      <c r="Y42" s="33" t="e">
        <f t="shared" si="20"/>
        <v>#DIV/0!</v>
      </c>
    </row>
    <row r="43" s="3" customFormat="1" ht="14.25" customHeight="1" spans="1:25">
      <c r="A43" s="36" t="s">
        <v>23</v>
      </c>
      <c r="B43" s="37"/>
      <c r="C43" s="37"/>
      <c r="D43" s="37"/>
      <c r="E43" s="37"/>
      <c r="F43" s="37"/>
      <c r="G43" s="37"/>
      <c r="H43" s="38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9"/>
      <c r="Y43" s="39"/>
    </row>
    <row r="44" customHeight="1" spans="1:25">
      <c r="A44" s="40"/>
      <c r="B44" s="41"/>
      <c r="C44" s="41"/>
      <c r="D44" s="41"/>
      <c r="E44" s="41"/>
      <c r="F44" s="41"/>
      <c r="G44" s="41"/>
      <c r="H44" s="42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3"/>
      <c r="Y44" s="43"/>
    </row>
    <row r="45" ht="63" customHeight="1" spans="1:25">
      <c r="A45" s="44"/>
      <c r="B45" s="45"/>
      <c r="C45" s="45"/>
      <c r="D45" s="45"/>
      <c r="E45" s="45"/>
      <c r="F45" s="45"/>
      <c r="G45" s="45"/>
      <c r="H45" s="46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7"/>
      <c r="Y45" s="47"/>
    </row>
    <row r="46" ht="50" customHeight="1" spans="1:25">
      <c r="X46" s="48"/>
      <c r="Y46" s="48"/>
    </row>
    <row r="47" customHeight="1" spans="1:25">
      <c r="X47" s="48"/>
      <c r="Y47" s="48"/>
    </row>
    <row r="48" customHeight="1" spans="1:25">
      <c r="X48" s="48"/>
      <c r="Y48" s="48"/>
    </row>
    <row r="49" customHeight="1" spans="24:25">
      <c r="X49" s="48"/>
      <c r="Y49" s="48"/>
    </row>
    <row r="50" customHeight="1" spans="24:25">
      <c r="X50" s="48"/>
      <c r="Y50" s="48"/>
    </row>
    <row r="51" customHeight="1" spans="24:25">
      <c r="X51" s="48"/>
      <c r="Y51" s="48"/>
    </row>
    <row r="52" customHeight="1" spans="24:25">
      <c r="X52" s="48"/>
      <c r="Y52" s="48"/>
    </row>
    <row r="53" customHeight="1" spans="24:25">
      <c r="X53" s="48"/>
      <c r="Y53" s="48"/>
    </row>
    <row r="54" customHeight="1" spans="24:25">
      <c r="X54" s="48"/>
      <c r="Y54" s="48"/>
    </row>
    <row r="55" customHeight="1" spans="24:25">
      <c r="X55" s="48"/>
      <c r="Y55" s="48"/>
    </row>
    <row r="56" customHeight="1" spans="24:25">
      <c r="X56" s="48"/>
      <c r="Y56" s="48"/>
    </row>
    <row r="57" customHeight="1" spans="24:25">
      <c r="X57" s="48"/>
      <c r="Y57" s="48"/>
    </row>
    <row r="58" customHeight="1" spans="24:25">
      <c r="X58" s="48"/>
      <c r="Y58" s="48"/>
    </row>
    <row r="59" customHeight="1" spans="24:25">
      <c r="X59" s="48"/>
      <c r="Y59" s="48"/>
    </row>
    <row r="60" customHeight="1" spans="24:25">
      <c r="X60" s="48"/>
      <c r="Y60" s="48"/>
    </row>
    <row r="61" customHeight="1" spans="24:25">
      <c r="X61" s="48"/>
      <c r="Y61" s="48"/>
    </row>
    <row r="62" customHeight="1" spans="24:25">
      <c r="X62" s="48"/>
      <c r="Y62" s="48"/>
    </row>
    <row r="63" customHeight="1" spans="24:25">
      <c r="X63" s="48"/>
      <c r="Y63" s="48"/>
    </row>
    <row r="64" customHeight="1" spans="24:25">
      <c r="X64" s="48"/>
      <c r="Y64" s="48"/>
    </row>
    <row r="65" customHeight="1" spans="24:25">
      <c r="X65" s="48"/>
      <c r="Y65" s="48"/>
    </row>
    <row r="66" customHeight="1" spans="24:25">
      <c r="X66" s="48"/>
      <c r="Y66" s="48"/>
    </row>
    <row r="67" customHeight="1" spans="24:25">
      <c r="X67" s="48"/>
      <c r="Y67" s="48"/>
    </row>
    <row r="68" customHeight="1" spans="24:25">
      <c r="X68" s="48"/>
      <c r="Y68" s="48"/>
    </row>
    <row r="69" customHeight="1" spans="24:25">
      <c r="X69" s="48"/>
      <c r="Y69" s="48"/>
    </row>
    <row r="70" customHeight="1" spans="24:25">
      <c r="X70" s="48"/>
      <c r="Y70" s="48"/>
    </row>
    <row r="71" customHeight="1" spans="24:25">
      <c r="X71" s="48"/>
      <c r="Y71" s="48"/>
    </row>
    <row r="72" customHeight="1" spans="24:25">
      <c r="X72" s="48"/>
      <c r="Y72" s="48"/>
    </row>
    <row r="73" customHeight="1" spans="24:25">
      <c r="X73" s="48"/>
      <c r="Y73" s="48"/>
    </row>
    <row r="74" customHeight="1" spans="24:25">
      <c r="X74" s="48"/>
      <c r="Y74" s="48"/>
    </row>
    <row r="75" customHeight="1" spans="24:25">
      <c r="X75" s="48"/>
      <c r="Y75" s="48"/>
    </row>
    <row r="76" customHeight="1" spans="24:25">
      <c r="X76" s="48"/>
      <c r="Y76" s="48"/>
    </row>
    <row r="77" customHeight="1" spans="24:25">
      <c r="X77" s="48"/>
      <c r="Y77" s="48"/>
    </row>
    <row r="78" customHeight="1" spans="24:25">
      <c r="X78" s="48"/>
      <c r="Y78" s="48"/>
    </row>
    <row r="79" customHeight="1" spans="24:25">
      <c r="X79" s="48"/>
      <c r="Y79" s="48"/>
    </row>
    <row r="80" customHeight="1" spans="24:25">
      <c r="X80" s="48"/>
      <c r="Y80" s="48"/>
    </row>
    <row r="81" customHeight="1" spans="24:25">
      <c r="X81" s="48"/>
      <c r="Y81" s="48"/>
    </row>
    <row r="82" customHeight="1" spans="24:25">
      <c r="X82" s="48"/>
      <c r="Y82" s="48"/>
    </row>
    <row r="83" customHeight="1" spans="24:25">
      <c r="X83" s="48"/>
      <c r="Y83" s="48"/>
    </row>
    <row r="84" customHeight="1" spans="24:25">
      <c r="X84" s="48"/>
      <c r="Y84" s="48"/>
    </row>
    <row r="85" customHeight="1" spans="24:25">
      <c r="X85" s="48"/>
      <c r="Y85" s="48"/>
    </row>
    <row r="86" customHeight="1" spans="24:25">
      <c r="X86" s="48"/>
      <c r="Y86" s="48"/>
    </row>
    <row r="87" customHeight="1" spans="24:25">
      <c r="X87" s="48"/>
      <c r="Y87" s="48"/>
    </row>
    <row r="88" customHeight="1" spans="24:25">
      <c r="X88" s="48"/>
      <c r="Y88" s="48"/>
    </row>
    <row r="89" customHeight="1" spans="24:25">
      <c r="X89" s="48"/>
      <c r="Y89" s="48"/>
    </row>
    <row r="90" customHeight="1" spans="24:25">
      <c r="X90" s="48"/>
      <c r="Y90" s="48"/>
    </row>
    <row r="91" customHeight="1" spans="24:25">
      <c r="X91" s="48"/>
      <c r="Y91" s="48"/>
    </row>
    <row r="92" customHeight="1" spans="24:25">
      <c r="X92" s="48"/>
      <c r="Y92" s="48"/>
    </row>
    <row r="93" customHeight="1" spans="24:25">
      <c r="X93" s="48"/>
      <c r="Y93" s="48"/>
    </row>
    <row r="94" customHeight="1" spans="24:25">
      <c r="X94" s="48"/>
      <c r="Y94" s="48"/>
    </row>
    <row r="95" customHeight="1" spans="24:25">
      <c r="X95" s="48"/>
      <c r="Y95" s="48"/>
    </row>
    <row r="96" customHeight="1" spans="24:25">
      <c r="X96" s="48"/>
      <c r="Y96" s="48"/>
    </row>
    <row r="97" customHeight="1" spans="24:25">
      <c r="X97" s="48"/>
      <c r="Y97" s="48"/>
    </row>
    <row r="98" customHeight="1" spans="24:25">
      <c r="X98" s="48"/>
      <c r="Y98" s="48"/>
    </row>
    <row r="99" customHeight="1" spans="24:25">
      <c r="X99" s="48"/>
      <c r="Y99" s="48"/>
    </row>
    <row r="100" customHeight="1" spans="24:25">
      <c r="X100" s="48"/>
      <c r="Y100" s="48"/>
    </row>
    <row r="101" customHeight="1" spans="24:25">
      <c r="X101" s="48"/>
      <c r="Y101" s="48"/>
    </row>
    <row r="102" customHeight="1" spans="24:25">
      <c r="X102" s="48"/>
      <c r="Y102" s="48"/>
    </row>
    <row r="103" customHeight="1" spans="24:25">
      <c r="X103" s="48"/>
      <c r="Y103" s="48"/>
    </row>
    <row r="104" customHeight="1" spans="24:25">
      <c r="X104" s="48"/>
      <c r="Y104" s="48"/>
    </row>
    <row r="105" customHeight="1" spans="24:25">
      <c r="X105" s="48"/>
      <c r="Y105" s="48"/>
    </row>
    <row r="106" customHeight="1" spans="24:25">
      <c r="X106" s="48"/>
      <c r="Y106" s="48"/>
    </row>
    <row r="107" customHeight="1" spans="24:25">
      <c r="X107" s="48"/>
      <c r="Y107" s="48"/>
    </row>
    <row r="108" customHeight="1" spans="24:25">
      <c r="X108" s="48"/>
      <c r="Y108" s="48"/>
    </row>
    <row r="109" customHeight="1" spans="24:25">
      <c r="X109" s="48"/>
      <c r="Y109" s="48"/>
    </row>
    <row r="110" customHeight="1" spans="24:25">
      <c r="X110" s="48"/>
      <c r="Y110" s="48"/>
    </row>
    <row r="111" customHeight="1" spans="24:25">
      <c r="X111" s="48"/>
      <c r="Y111" s="48"/>
    </row>
    <row r="112" customHeight="1" spans="24:25">
      <c r="X112" s="48"/>
      <c r="Y112" s="48"/>
    </row>
    <row r="113" customHeight="1" spans="24:25">
      <c r="X113" s="48"/>
      <c r="Y113" s="48"/>
    </row>
    <row r="114" customHeight="1" spans="24:25">
      <c r="X114" s="48"/>
      <c r="Y114" s="48"/>
    </row>
    <row r="115" customHeight="1" spans="24:25">
      <c r="X115" s="48"/>
      <c r="Y115" s="48"/>
    </row>
    <row r="116" customHeight="1" spans="24:25">
      <c r="X116" s="48"/>
      <c r="Y116" s="48"/>
    </row>
    <row r="117" customHeight="1" spans="24:25">
      <c r="X117" s="48"/>
      <c r="Y117" s="48"/>
    </row>
    <row r="118" customHeight="1" spans="24:25">
      <c r="X118" s="48"/>
      <c r="Y118" s="48"/>
    </row>
    <row r="119" customHeight="1" spans="24:25">
      <c r="X119" s="48"/>
      <c r="Y119" s="48"/>
    </row>
    <row r="120" customHeight="1" spans="24:25">
      <c r="X120" s="48"/>
      <c r="Y120" s="48"/>
    </row>
    <row r="121" customHeight="1" spans="24:25">
      <c r="X121" s="48"/>
      <c r="Y121" s="48"/>
    </row>
    <row r="122" customHeight="1" spans="24:25">
      <c r="X122" s="48"/>
      <c r="Y122" s="48"/>
    </row>
    <row r="123" customHeight="1" spans="24:25">
      <c r="X123" s="48"/>
      <c r="Y123" s="48"/>
    </row>
    <row r="124" customHeight="1" spans="24:25">
      <c r="X124" s="48"/>
      <c r="Y124" s="48"/>
    </row>
    <row r="125" customHeight="1" spans="24:25">
      <c r="X125" s="48"/>
      <c r="Y125" s="48"/>
    </row>
    <row r="126" customHeight="1" spans="24:25">
      <c r="X126" s="48"/>
      <c r="Y126" s="48"/>
    </row>
    <row r="127" customHeight="1" spans="24:25">
      <c r="X127" s="48"/>
      <c r="Y127" s="48"/>
    </row>
    <row r="128" customHeight="1" spans="24:25">
      <c r="X128" s="48"/>
      <c r="Y128" s="48"/>
    </row>
    <row r="129" customHeight="1" spans="24:25">
      <c r="X129" s="48"/>
      <c r="Y129" s="48"/>
    </row>
    <row r="130" customHeight="1" spans="24:25">
      <c r="X130" s="48"/>
      <c r="Y130" s="48"/>
    </row>
    <row r="131" customHeight="1" spans="24:25">
      <c r="X131" s="48"/>
      <c r="Y131" s="48"/>
    </row>
    <row r="132" customHeight="1" spans="24:25">
      <c r="X132" s="48"/>
      <c r="Y132" s="48"/>
    </row>
    <row r="133" customHeight="1" spans="24:25">
      <c r="X133" s="48"/>
      <c r="Y133" s="48"/>
    </row>
    <row r="134" customHeight="1" spans="24:25">
      <c r="X134" s="48"/>
      <c r="Y134" s="48"/>
    </row>
    <row r="135" customHeight="1" spans="24:25">
      <c r="X135" s="48"/>
      <c r="Y135" s="48"/>
    </row>
    <row r="136" customHeight="1" spans="24:25">
      <c r="X136" s="48"/>
      <c r="Y136" s="48"/>
    </row>
    <row r="137" customHeight="1" spans="24:25">
      <c r="X137" s="48"/>
      <c r="Y137" s="48"/>
    </row>
    <row r="138" customHeight="1" spans="24:25">
      <c r="X138" s="48"/>
      <c r="Y138" s="48"/>
    </row>
  </sheetData>
  <mergeCells count="2">
    <mergeCell ref="A1:Y1"/>
    <mergeCell ref="A43:X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晨心</cp:lastModifiedBy>
  <dcterms:created xsi:type="dcterms:W3CDTF">2006-09-16T00:00:00Z</dcterms:created>
  <dcterms:modified xsi:type="dcterms:W3CDTF">2026-08-01T08:41:47Z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5A0A6F235A7D494A8EB8B9EEFCF5099C_13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